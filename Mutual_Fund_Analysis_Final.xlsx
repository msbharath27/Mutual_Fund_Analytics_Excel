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ssar\Downloads\"/>
    </mc:Choice>
  </mc:AlternateContent>
  <xr:revisionPtr revIDLastSave="0" documentId="13_ncr:1_{343661D7-1A3B-43FF-8600-A7979F1241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" sheetId="1" r:id="rId1"/>
    <sheet name="NAV_Data" sheetId="2" r:id="rId2"/>
    <sheet name="Benchmark_Data" sheetId="3" r:id="rId3"/>
    <sheet name="Calc" sheetId="4" r:id="rId4"/>
    <sheet name="SIP" sheetId="5" r:id="rId5"/>
    <sheet name="Summary" sheetId="6" r:id="rId6"/>
    <sheet name="Clean_NAV" sheetId="7" r:id="rId7"/>
    <sheet name="Nifty 500 TRI" sheetId="8" r:id="rId8"/>
    <sheet name="Clean_Benchmark" sheetId="9" r:id="rId9"/>
  </sheets>
  <externalReferences>
    <externalReference r:id="rId10"/>
  </externalReferences>
  <definedNames>
    <definedName name="BM_Dates">T_Bench[Date]</definedName>
    <definedName name="BM_Value">T_Bench[Benchmark_Value]</definedName>
    <definedName name="FundDates">T_FundNAV[Date]</definedName>
    <definedName name="FundNAV">T_FundNAV[Fund_NAV]</definedName>
    <definedName name="MAR_Annual">Inputs!$C$3</definedName>
    <definedName name="RF_Annual">Inputs!$C$2</definedName>
    <definedName name="SIP_Amt">Inputs!$C$4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B2" i="4" s="1"/>
  <c r="C27" i="6"/>
  <c r="C26" i="6"/>
  <c r="C24" i="6"/>
  <c r="C17" i="6" a="1"/>
  <c r="C17" i="6" s="1"/>
  <c r="C18" i="6" s="1"/>
  <c r="C1432" i="9" l="1"/>
  <c r="C1431" i="9"/>
  <c r="C1430" i="9"/>
  <c r="C1429" i="9"/>
  <c r="C1428" i="9"/>
  <c r="C1427" i="9"/>
  <c r="C1426" i="9"/>
  <c r="C1425" i="9"/>
  <c r="C1424" i="9"/>
  <c r="C1423" i="9"/>
  <c r="C1422" i="9"/>
  <c r="C1421" i="9"/>
  <c r="C1420" i="9"/>
  <c r="C1419" i="9"/>
  <c r="C1418" i="9"/>
  <c r="C1417" i="9"/>
  <c r="C1416" i="9"/>
  <c r="C1415" i="9"/>
  <c r="C1414" i="9"/>
  <c r="C1413" i="9"/>
  <c r="C1412" i="9"/>
  <c r="C1411" i="9"/>
  <c r="C1410" i="9"/>
  <c r="C1409" i="9"/>
  <c r="C1408" i="9"/>
  <c r="C1407" i="9"/>
  <c r="C1406" i="9"/>
  <c r="C1405" i="9"/>
  <c r="C1404" i="9"/>
  <c r="C1403" i="9"/>
  <c r="C1402" i="9"/>
  <c r="C1401" i="9"/>
  <c r="C1400" i="9"/>
  <c r="C1399" i="9"/>
  <c r="C1398" i="9"/>
  <c r="C1397" i="9"/>
  <c r="C1396" i="9"/>
  <c r="C1395" i="9"/>
  <c r="C1394" i="9"/>
  <c r="C1393" i="9"/>
  <c r="C1392" i="9"/>
  <c r="C1391" i="9"/>
  <c r="C1390" i="9"/>
  <c r="C1389" i="9"/>
  <c r="C1388" i="9"/>
  <c r="C1387" i="9"/>
  <c r="C1386" i="9"/>
  <c r="C1385" i="9"/>
  <c r="C1384" i="9"/>
  <c r="C1383" i="9"/>
  <c r="C1382" i="9"/>
  <c r="C1381" i="9"/>
  <c r="C1380" i="9"/>
  <c r="C1379" i="9"/>
  <c r="C1378" i="9"/>
  <c r="C1377" i="9"/>
  <c r="C1376" i="9"/>
  <c r="C1375" i="9"/>
  <c r="C1374" i="9"/>
  <c r="C1373" i="9"/>
  <c r="C1372" i="9"/>
  <c r="C1371" i="9"/>
  <c r="C1370" i="9"/>
  <c r="C1369" i="9"/>
  <c r="C1368" i="9"/>
  <c r="C1367" i="9"/>
  <c r="C1366" i="9"/>
  <c r="C1365" i="9"/>
  <c r="C1364" i="9"/>
  <c r="C1363" i="9"/>
  <c r="C1362" i="9"/>
  <c r="C1361" i="9"/>
  <c r="C1360" i="9"/>
  <c r="C1359" i="9"/>
  <c r="C1358" i="9"/>
  <c r="C1357" i="9"/>
  <c r="C1356" i="9"/>
  <c r="C1355" i="9"/>
  <c r="C1354" i="9"/>
  <c r="C1353" i="9"/>
  <c r="C1352" i="9"/>
  <c r="C1351" i="9"/>
  <c r="C1350" i="9"/>
  <c r="C1349" i="9"/>
  <c r="C1348" i="9"/>
  <c r="C1347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5" i="9"/>
  <c r="C1324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8" i="9"/>
  <c r="C1297" i="9"/>
  <c r="C1296" i="9"/>
  <c r="C1295" i="9"/>
  <c r="C1294" i="9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D1449" i="7"/>
  <c r="C1449" i="7"/>
  <c r="C1448" i="7"/>
  <c r="D1448" i="7" s="1"/>
  <c r="C1447" i="7"/>
  <c r="D1447" i="7" s="1"/>
  <c r="D1446" i="7"/>
  <c r="C1446" i="7"/>
  <c r="C1445" i="7"/>
  <c r="D1445" i="7" s="1"/>
  <c r="C1444" i="7"/>
  <c r="D1444" i="7" s="1"/>
  <c r="C1443" i="7"/>
  <c r="D1443" i="7" s="1"/>
  <c r="D1442" i="7"/>
  <c r="C1442" i="7"/>
  <c r="C1441" i="7"/>
  <c r="D1441" i="7" s="1"/>
  <c r="C1440" i="7"/>
  <c r="D1440" i="7" s="1"/>
  <c r="D1439" i="7"/>
  <c r="C1439" i="7"/>
  <c r="C1438" i="7"/>
  <c r="D1438" i="7" s="1"/>
  <c r="D1437" i="7"/>
  <c r="C1437" i="7"/>
  <c r="C1436" i="7"/>
  <c r="D1436" i="7" s="1"/>
  <c r="D1435" i="7"/>
  <c r="C1435" i="7"/>
  <c r="D1434" i="7"/>
  <c r="C1434" i="7"/>
  <c r="D1433" i="7"/>
  <c r="C1433" i="7"/>
  <c r="C1432" i="7"/>
  <c r="D1432" i="7" s="1"/>
  <c r="C1431" i="7"/>
  <c r="D1431" i="7" s="1"/>
  <c r="D1430" i="7"/>
  <c r="C1430" i="7"/>
  <c r="C1429" i="7"/>
  <c r="D1429" i="7" s="1"/>
  <c r="C1428" i="7"/>
  <c r="D1428" i="7" s="1"/>
  <c r="C1427" i="7"/>
  <c r="D1427" i="7" s="1"/>
  <c r="C1426" i="7"/>
  <c r="D1426" i="7" s="1"/>
  <c r="D1425" i="7"/>
  <c r="C1425" i="7"/>
  <c r="C1424" i="7"/>
  <c r="D1424" i="7" s="1"/>
  <c r="D1423" i="7"/>
  <c r="C1423" i="7"/>
  <c r="D1422" i="7"/>
  <c r="C1422" i="7"/>
  <c r="D1421" i="7"/>
  <c r="C1421" i="7"/>
  <c r="C1420" i="7"/>
  <c r="D1420" i="7" s="1"/>
  <c r="D1419" i="7"/>
  <c r="C1419" i="7"/>
  <c r="C1418" i="7"/>
  <c r="D1418" i="7" s="1"/>
  <c r="D1417" i="7"/>
  <c r="C1417" i="7"/>
  <c r="C1416" i="7"/>
  <c r="D1416" i="7" s="1"/>
  <c r="D1415" i="7"/>
  <c r="C1415" i="7"/>
  <c r="D1414" i="7"/>
  <c r="C1414" i="7"/>
  <c r="C1413" i="7"/>
  <c r="D1413" i="7" s="1"/>
  <c r="C1412" i="7"/>
  <c r="D1412" i="7" s="1"/>
  <c r="C1411" i="7"/>
  <c r="D1411" i="7" s="1"/>
  <c r="D1410" i="7"/>
  <c r="C1410" i="7"/>
  <c r="C1409" i="7"/>
  <c r="D1409" i="7" s="1"/>
  <c r="C1408" i="7"/>
  <c r="D1408" i="7" s="1"/>
  <c r="D1407" i="7"/>
  <c r="C1407" i="7"/>
  <c r="C1406" i="7"/>
  <c r="D1406" i="7" s="1"/>
  <c r="D1405" i="7"/>
  <c r="C1405" i="7"/>
  <c r="C1404" i="7"/>
  <c r="D1404" i="7" s="1"/>
  <c r="C1403" i="7"/>
  <c r="D1403" i="7" s="1"/>
  <c r="C1402" i="7"/>
  <c r="D1402" i="7" s="1"/>
  <c r="D1401" i="7"/>
  <c r="C1401" i="7"/>
  <c r="C1400" i="7"/>
  <c r="D1400" i="7" s="1"/>
  <c r="C1399" i="7"/>
  <c r="D1399" i="7" s="1"/>
  <c r="D1398" i="7"/>
  <c r="C1398" i="7"/>
  <c r="D1397" i="7"/>
  <c r="C1397" i="7"/>
  <c r="C1396" i="7"/>
  <c r="D1396" i="7" s="1"/>
  <c r="C1395" i="7"/>
  <c r="D1395" i="7" s="1"/>
  <c r="C1394" i="7"/>
  <c r="D1394" i="7" s="1"/>
  <c r="D1393" i="7"/>
  <c r="C1393" i="7"/>
  <c r="C1392" i="7"/>
  <c r="D1392" i="7" s="1"/>
  <c r="D1391" i="7"/>
  <c r="C1391" i="7"/>
  <c r="C1390" i="7"/>
  <c r="D1390" i="7" s="1"/>
  <c r="C1389" i="7"/>
  <c r="D1389" i="7" s="1"/>
  <c r="C1388" i="7"/>
  <c r="D1388" i="7" s="1"/>
  <c r="D1387" i="7"/>
  <c r="C1387" i="7"/>
  <c r="C1386" i="7"/>
  <c r="D1386" i="7" s="1"/>
  <c r="C1385" i="7"/>
  <c r="D1385" i="7" s="1"/>
  <c r="C1384" i="7"/>
  <c r="D1384" i="7" s="1"/>
  <c r="D1383" i="7"/>
  <c r="C1383" i="7"/>
  <c r="D1382" i="7"/>
  <c r="C1382" i="7"/>
  <c r="D1381" i="7"/>
  <c r="C1381" i="7"/>
  <c r="C1380" i="7"/>
  <c r="D1380" i="7" s="1"/>
  <c r="C1379" i="7"/>
  <c r="D1379" i="7" s="1"/>
  <c r="D1378" i="7"/>
  <c r="C1378" i="7"/>
  <c r="C1377" i="7"/>
  <c r="D1377" i="7" s="1"/>
  <c r="C1376" i="7"/>
  <c r="D1376" i="7" s="1"/>
  <c r="C1375" i="7"/>
  <c r="D1375" i="7" s="1"/>
  <c r="C1374" i="7"/>
  <c r="D1374" i="7" s="1"/>
  <c r="D1373" i="7"/>
  <c r="C1373" i="7"/>
  <c r="C1372" i="7"/>
  <c r="D1372" i="7" s="1"/>
  <c r="D1371" i="7"/>
  <c r="C1371" i="7"/>
  <c r="C1370" i="7"/>
  <c r="D1370" i="7" s="1"/>
  <c r="D1369" i="7"/>
  <c r="C1369" i="7"/>
  <c r="C1368" i="7"/>
  <c r="D1368" i="7" s="1"/>
  <c r="D1367" i="7"/>
  <c r="C1367" i="7"/>
  <c r="C1366" i="7"/>
  <c r="D1366" i="7" s="1"/>
  <c r="C1365" i="7"/>
  <c r="D1365" i="7" s="1"/>
  <c r="C1364" i="7"/>
  <c r="D1364" i="7" s="1"/>
  <c r="C1363" i="7"/>
  <c r="D1363" i="7" s="1"/>
  <c r="D1362" i="7"/>
  <c r="C1362" i="7"/>
  <c r="C1361" i="7"/>
  <c r="D1361" i="7" s="1"/>
  <c r="C1360" i="7"/>
  <c r="D1360" i="7" s="1"/>
  <c r="D1359" i="7"/>
  <c r="C1359" i="7"/>
  <c r="D1358" i="7"/>
  <c r="C1358" i="7"/>
  <c r="D1357" i="7"/>
  <c r="C1357" i="7"/>
  <c r="C1356" i="7"/>
  <c r="D1356" i="7" s="1"/>
  <c r="D1355" i="7"/>
  <c r="C1355" i="7"/>
  <c r="C1354" i="7"/>
  <c r="D1354" i="7" s="1"/>
  <c r="D1353" i="7"/>
  <c r="C1353" i="7"/>
  <c r="C1352" i="7"/>
  <c r="D1352" i="7" s="1"/>
  <c r="C1351" i="7"/>
  <c r="D1351" i="7" s="1"/>
  <c r="D1350" i="7"/>
  <c r="C1350" i="7"/>
  <c r="C1349" i="7"/>
  <c r="D1349" i="7" s="1"/>
  <c r="C1348" i="7"/>
  <c r="D1348" i="7" s="1"/>
  <c r="D1347" i="7"/>
  <c r="C1347" i="7"/>
  <c r="D1346" i="7"/>
  <c r="C1346" i="7"/>
  <c r="C1345" i="7"/>
  <c r="D1345" i="7" s="1"/>
  <c r="C1344" i="7"/>
  <c r="D1344" i="7" s="1"/>
  <c r="C1343" i="7"/>
  <c r="D1343" i="7" s="1"/>
  <c r="D1342" i="7"/>
  <c r="C1342" i="7"/>
  <c r="D1341" i="7"/>
  <c r="C1341" i="7"/>
  <c r="C1340" i="7"/>
  <c r="D1340" i="7" s="1"/>
  <c r="C1339" i="7"/>
  <c r="D1339" i="7" s="1"/>
  <c r="D1338" i="7"/>
  <c r="C1338" i="7"/>
  <c r="D1337" i="7"/>
  <c r="C1337" i="7"/>
  <c r="C1336" i="7"/>
  <c r="D1336" i="7" s="1"/>
  <c r="D1335" i="7"/>
  <c r="C1335" i="7"/>
  <c r="C1334" i="7"/>
  <c r="D1334" i="7" s="1"/>
  <c r="D1333" i="7"/>
  <c r="C1333" i="7"/>
  <c r="C1332" i="7"/>
  <c r="D1332" i="7" s="1"/>
  <c r="C1331" i="7"/>
  <c r="D1331" i="7" s="1"/>
  <c r="D1330" i="7"/>
  <c r="C1330" i="7"/>
  <c r="C1329" i="7"/>
  <c r="D1329" i="7" s="1"/>
  <c r="C1328" i="7"/>
  <c r="D1328" i="7" s="1"/>
  <c r="D1327" i="7"/>
  <c r="C1327" i="7"/>
  <c r="C1326" i="7"/>
  <c r="D1326" i="7" s="1"/>
  <c r="C1325" i="7"/>
  <c r="D1325" i="7" s="1"/>
  <c r="C1324" i="7"/>
  <c r="D1324" i="7" s="1"/>
  <c r="D1323" i="7"/>
  <c r="C1323" i="7"/>
  <c r="C1322" i="7"/>
  <c r="D1322" i="7" s="1"/>
  <c r="D1321" i="7"/>
  <c r="C1321" i="7"/>
  <c r="C1320" i="7"/>
  <c r="D1320" i="7" s="1"/>
  <c r="D1319" i="7"/>
  <c r="C1319" i="7"/>
  <c r="D1318" i="7"/>
  <c r="C1318" i="7"/>
  <c r="C1317" i="7"/>
  <c r="D1317" i="7" s="1"/>
  <c r="C1316" i="7"/>
  <c r="D1316" i="7" s="1"/>
  <c r="C1315" i="7"/>
  <c r="D1315" i="7" s="1"/>
  <c r="D1314" i="7"/>
  <c r="C1314" i="7"/>
  <c r="C1313" i="7"/>
  <c r="D1313" i="7" s="1"/>
  <c r="C1312" i="7"/>
  <c r="D1312" i="7" s="1"/>
  <c r="D1311" i="7"/>
  <c r="C1311" i="7"/>
  <c r="C1310" i="7"/>
  <c r="D1310" i="7" s="1"/>
  <c r="D1309" i="7"/>
  <c r="C1309" i="7"/>
  <c r="C1308" i="7"/>
  <c r="D1308" i="7" s="1"/>
  <c r="C1307" i="7"/>
  <c r="D1307" i="7" s="1"/>
  <c r="D1306" i="7"/>
  <c r="C1306" i="7"/>
  <c r="C1305" i="7"/>
  <c r="D1305" i="7" s="1"/>
  <c r="C1304" i="7"/>
  <c r="D1304" i="7" s="1"/>
  <c r="C1303" i="7"/>
  <c r="D1303" i="7" s="1"/>
  <c r="D1302" i="7"/>
  <c r="C1302" i="7"/>
  <c r="C1301" i="7"/>
  <c r="D1301" i="7" s="1"/>
  <c r="C1300" i="7"/>
  <c r="D1300" i="7" s="1"/>
  <c r="C1299" i="7"/>
  <c r="D1299" i="7" s="1"/>
  <c r="C1298" i="7"/>
  <c r="D1298" i="7" s="1"/>
  <c r="C1297" i="7"/>
  <c r="D1297" i="7" s="1"/>
  <c r="C1296" i="7"/>
  <c r="D1296" i="7" s="1"/>
  <c r="D1295" i="7"/>
  <c r="C1295" i="7"/>
  <c r="D1294" i="7"/>
  <c r="C1294" i="7"/>
  <c r="C1293" i="7"/>
  <c r="D1293" i="7" s="1"/>
  <c r="C1292" i="7"/>
  <c r="D1292" i="7" s="1"/>
  <c r="C1291" i="7"/>
  <c r="D1291" i="7" s="1"/>
  <c r="C1290" i="7"/>
  <c r="D1290" i="7" s="1"/>
  <c r="D1289" i="7"/>
  <c r="C1289" i="7"/>
  <c r="C1288" i="7"/>
  <c r="D1288" i="7" s="1"/>
  <c r="C1287" i="7"/>
  <c r="D1287" i="7" s="1"/>
  <c r="D1286" i="7"/>
  <c r="C1286" i="7"/>
  <c r="D1285" i="7"/>
  <c r="C1285" i="7"/>
  <c r="C1284" i="7"/>
  <c r="D1284" i="7" s="1"/>
  <c r="C1283" i="7"/>
  <c r="D1283" i="7" s="1"/>
  <c r="D1282" i="7"/>
  <c r="C1282" i="7"/>
  <c r="C1281" i="7"/>
  <c r="D1281" i="7" s="1"/>
  <c r="C1280" i="7"/>
  <c r="D1280" i="7" s="1"/>
  <c r="D1279" i="7"/>
  <c r="C1279" i="7"/>
  <c r="C1278" i="7"/>
  <c r="D1278" i="7" s="1"/>
  <c r="D1277" i="7"/>
  <c r="C1277" i="7"/>
  <c r="C1276" i="7"/>
  <c r="D1276" i="7" s="1"/>
  <c r="D1275" i="7"/>
  <c r="C1275" i="7"/>
  <c r="C1274" i="7"/>
  <c r="D1274" i="7" s="1"/>
  <c r="C1273" i="7"/>
  <c r="D1273" i="7" s="1"/>
  <c r="C1272" i="7"/>
  <c r="D1272" i="7" s="1"/>
  <c r="D1271" i="7"/>
  <c r="C1271" i="7"/>
  <c r="D1270" i="7"/>
  <c r="C1270" i="7"/>
  <c r="C1269" i="7"/>
  <c r="D1269" i="7" s="1"/>
  <c r="C1268" i="7"/>
  <c r="D1268" i="7" s="1"/>
  <c r="C1267" i="7"/>
  <c r="D1267" i="7" s="1"/>
  <c r="C1266" i="7"/>
  <c r="D1266" i="7" s="1"/>
  <c r="D1265" i="7"/>
  <c r="C1265" i="7"/>
  <c r="C1264" i="7"/>
  <c r="D1264" i="7" s="1"/>
  <c r="D1263" i="7"/>
  <c r="C1263" i="7"/>
  <c r="C1262" i="7"/>
  <c r="D1262" i="7" s="1"/>
  <c r="D1261" i="7"/>
  <c r="C1261" i="7"/>
  <c r="C1260" i="7"/>
  <c r="D1260" i="7" s="1"/>
  <c r="C1259" i="7"/>
  <c r="D1259" i="7" s="1"/>
  <c r="C1258" i="7"/>
  <c r="D1258" i="7" s="1"/>
  <c r="C1257" i="7"/>
  <c r="D1257" i="7" s="1"/>
  <c r="C1256" i="7"/>
  <c r="D1256" i="7" s="1"/>
  <c r="D1255" i="7"/>
  <c r="C1255" i="7"/>
  <c r="D1254" i="7"/>
  <c r="C1254" i="7"/>
  <c r="D1253" i="7"/>
  <c r="C1253" i="7"/>
  <c r="C1252" i="7"/>
  <c r="D1252" i="7" s="1"/>
  <c r="D1251" i="7"/>
  <c r="C1251" i="7"/>
  <c r="C1250" i="7"/>
  <c r="D1250" i="7" s="1"/>
  <c r="C1249" i="7"/>
  <c r="D1249" i="7" s="1"/>
  <c r="C1248" i="7"/>
  <c r="D1248" i="7" s="1"/>
  <c r="C1247" i="7"/>
  <c r="D1247" i="7" s="1"/>
  <c r="D1246" i="7"/>
  <c r="C1246" i="7"/>
  <c r="D1245" i="7"/>
  <c r="C1245" i="7"/>
  <c r="C1244" i="7"/>
  <c r="D1244" i="7" s="1"/>
  <c r="D1243" i="7"/>
  <c r="C1243" i="7"/>
  <c r="D1242" i="7"/>
  <c r="C1242" i="7"/>
  <c r="D1241" i="7"/>
  <c r="C1241" i="7"/>
  <c r="C1240" i="7"/>
  <c r="D1240" i="7" s="1"/>
  <c r="C1239" i="7"/>
  <c r="D1239" i="7" s="1"/>
  <c r="C1238" i="7"/>
  <c r="D1238" i="7" s="1"/>
  <c r="D1237" i="7"/>
  <c r="C1237" i="7"/>
  <c r="C1236" i="7"/>
  <c r="D1236" i="7" s="1"/>
  <c r="C1235" i="7"/>
  <c r="D1235" i="7" s="1"/>
  <c r="C1234" i="7"/>
  <c r="D1234" i="7" s="1"/>
  <c r="C1233" i="7"/>
  <c r="D1233" i="7" s="1"/>
  <c r="C1232" i="7"/>
  <c r="D1232" i="7" s="1"/>
  <c r="D1231" i="7"/>
  <c r="C1231" i="7"/>
  <c r="C1230" i="7"/>
  <c r="D1230" i="7" s="1"/>
  <c r="D1229" i="7"/>
  <c r="C1229" i="7"/>
  <c r="C1228" i="7"/>
  <c r="D1228" i="7" s="1"/>
  <c r="D1227" i="7"/>
  <c r="C1227" i="7"/>
  <c r="C1226" i="7"/>
  <c r="D1226" i="7" s="1"/>
  <c r="C1225" i="7"/>
  <c r="D1225" i="7" s="1"/>
  <c r="C1224" i="7"/>
  <c r="D1224" i="7" s="1"/>
  <c r="C1223" i="7"/>
  <c r="D1223" i="7" s="1"/>
  <c r="D1222" i="7"/>
  <c r="C1222" i="7"/>
  <c r="C1221" i="7"/>
  <c r="D1221" i="7" s="1"/>
  <c r="C1220" i="7"/>
  <c r="D1220" i="7" s="1"/>
  <c r="D1219" i="7"/>
  <c r="C1219" i="7"/>
  <c r="D1218" i="7"/>
  <c r="C1218" i="7"/>
  <c r="C1217" i="7"/>
  <c r="D1217" i="7" s="1"/>
  <c r="C1216" i="7"/>
  <c r="D1216" i="7" s="1"/>
  <c r="C1215" i="7"/>
  <c r="D1215" i="7" s="1"/>
  <c r="C1214" i="7"/>
  <c r="D1214" i="7" s="1"/>
  <c r="C1213" i="7"/>
  <c r="D1213" i="7" s="1"/>
  <c r="D1212" i="7"/>
  <c r="C1212" i="7"/>
  <c r="C1211" i="7"/>
  <c r="D1211" i="7" s="1"/>
  <c r="D1210" i="7"/>
  <c r="C1210" i="7"/>
  <c r="C1209" i="7"/>
  <c r="D1209" i="7" s="1"/>
  <c r="D1208" i="7"/>
  <c r="C1208" i="7"/>
  <c r="C1207" i="7"/>
  <c r="D1207" i="7" s="1"/>
  <c r="C1206" i="7"/>
  <c r="D1206" i="7" s="1"/>
  <c r="C1205" i="7"/>
  <c r="D1205" i="7" s="1"/>
  <c r="C1204" i="7"/>
  <c r="D1204" i="7" s="1"/>
  <c r="D1203" i="7"/>
  <c r="C1203" i="7"/>
  <c r="C1202" i="7"/>
  <c r="D1202" i="7" s="1"/>
  <c r="C1201" i="7"/>
  <c r="D1201" i="7" s="1"/>
  <c r="C1200" i="7"/>
  <c r="D1200" i="7" s="1"/>
  <c r="D1199" i="7"/>
  <c r="C1199" i="7"/>
  <c r="C1198" i="7"/>
  <c r="D1198" i="7" s="1"/>
  <c r="C1197" i="7"/>
  <c r="D1197" i="7" s="1"/>
  <c r="D1196" i="7"/>
  <c r="C1196" i="7"/>
  <c r="C1195" i="7"/>
  <c r="D1195" i="7" s="1"/>
  <c r="D1194" i="7"/>
  <c r="C1194" i="7"/>
  <c r="C1193" i="7"/>
  <c r="D1193" i="7" s="1"/>
  <c r="D1192" i="7"/>
  <c r="C1192" i="7"/>
  <c r="C1191" i="7"/>
  <c r="D1191" i="7" s="1"/>
  <c r="D1190" i="7"/>
  <c r="C1190" i="7"/>
  <c r="C1189" i="7"/>
  <c r="D1189" i="7" s="1"/>
  <c r="C1188" i="7"/>
  <c r="D1188" i="7" s="1"/>
  <c r="D1187" i="7"/>
  <c r="C1187" i="7"/>
  <c r="D1186" i="7"/>
  <c r="C1186" i="7"/>
  <c r="C1185" i="7"/>
  <c r="D1185" i="7" s="1"/>
  <c r="C1184" i="7"/>
  <c r="D1184" i="7" s="1"/>
  <c r="D1183" i="7"/>
  <c r="C1183" i="7"/>
  <c r="C1182" i="7"/>
  <c r="D1182" i="7" s="1"/>
  <c r="C1181" i="7"/>
  <c r="D1181" i="7" s="1"/>
  <c r="D1180" i="7"/>
  <c r="C1180" i="7"/>
  <c r="C1179" i="7"/>
  <c r="D1179" i="7" s="1"/>
  <c r="D1178" i="7"/>
  <c r="C1178" i="7"/>
  <c r="C1177" i="7"/>
  <c r="D1177" i="7" s="1"/>
  <c r="D1176" i="7"/>
  <c r="C1176" i="7"/>
  <c r="C1175" i="7"/>
  <c r="D1175" i="7" s="1"/>
  <c r="D1174" i="7"/>
  <c r="C1174" i="7"/>
  <c r="C1173" i="7"/>
  <c r="D1173" i="7" s="1"/>
  <c r="D1172" i="7"/>
  <c r="C1172" i="7"/>
  <c r="D1171" i="7"/>
  <c r="C1171" i="7"/>
  <c r="C1170" i="7"/>
  <c r="D1170" i="7" s="1"/>
  <c r="C1169" i="7"/>
  <c r="D1169" i="7" s="1"/>
  <c r="C1168" i="7"/>
  <c r="D1168" i="7" s="1"/>
  <c r="D1167" i="7"/>
  <c r="C1167" i="7"/>
  <c r="C1166" i="7"/>
  <c r="D1166" i="7" s="1"/>
  <c r="C1165" i="7"/>
  <c r="D1165" i="7" s="1"/>
  <c r="D1164" i="7"/>
  <c r="C1164" i="7"/>
  <c r="D1163" i="7"/>
  <c r="C1163" i="7"/>
  <c r="D1162" i="7"/>
  <c r="C1162" i="7"/>
  <c r="C1161" i="7"/>
  <c r="D1161" i="7" s="1"/>
  <c r="C1160" i="7"/>
  <c r="D1160" i="7" s="1"/>
  <c r="C1159" i="7"/>
  <c r="D1159" i="7" s="1"/>
  <c r="D1158" i="7"/>
  <c r="C1158" i="7"/>
  <c r="C1157" i="7"/>
  <c r="D1157" i="7" s="1"/>
  <c r="C1156" i="7"/>
  <c r="D1156" i="7" s="1"/>
  <c r="D1155" i="7"/>
  <c r="C1155" i="7"/>
  <c r="C1154" i="7"/>
  <c r="D1154" i="7" s="1"/>
  <c r="C1153" i="7"/>
  <c r="D1153" i="7" s="1"/>
  <c r="C1152" i="7"/>
  <c r="D1152" i="7" s="1"/>
  <c r="C1151" i="7"/>
  <c r="D1151" i="7" s="1"/>
  <c r="C1150" i="7"/>
  <c r="D1150" i="7" s="1"/>
  <c r="C1149" i="7"/>
  <c r="D1149" i="7" s="1"/>
  <c r="D1148" i="7"/>
  <c r="C1148" i="7"/>
  <c r="C1147" i="7"/>
  <c r="D1147" i="7" s="1"/>
  <c r="D1146" i="7"/>
  <c r="C1146" i="7"/>
  <c r="C1145" i="7"/>
  <c r="D1145" i="7" s="1"/>
  <c r="D1144" i="7"/>
  <c r="C1144" i="7"/>
  <c r="C1143" i="7"/>
  <c r="D1143" i="7" s="1"/>
  <c r="C1142" i="7"/>
  <c r="D1142" i="7" s="1"/>
  <c r="C1141" i="7"/>
  <c r="D1141" i="7" s="1"/>
  <c r="C1140" i="7"/>
  <c r="D1140" i="7" s="1"/>
  <c r="D1139" i="7"/>
  <c r="C1139" i="7"/>
  <c r="C1138" i="7"/>
  <c r="D1138" i="7" s="1"/>
  <c r="C1137" i="7"/>
  <c r="D1137" i="7" s="1"/>
  <c r="C1136" i="7"/>
  <c r="D1136" i="7" s="1"/>
  <c r="D1135" i="7"/>
  <c r="C1135" i="7"/>
  <c r="C1134" i="7"/>
  <c r="D1134" i="7" s="1"/>
  <c r="C1133" i="7"/>
  <c r="D1133" i="7" s="1"/>
  <c r="D1132" i="7"/>
  <c r="C1132" i="7"/>
  <c r="C1131" i="7"/>
  <c r="D1131" i="7" s="1"/>
  <c r="D1130" i="7"/>
  <c r="C1130" i="7"/>
  <c r="C1129" i="7"/>
  <c r="D1129" i="7" s="1"/>
  <c r="C1128" i="7"/>
  <c r="D1128" i="7" s="1"/>
  <c r="C1127" i="7"/>
  <c r="D1127" i="7" s="1"/>
  <c r="D1126" i="7"/>
  <c r="C1126" i="7"/>
  <c r="C1125" i="7"/>
  <c r="D1125" i="7" s="1"/>
  <c r="C1124" i="7"/>
  <c r="D1124" i="7" s="1"/>
  <c r="D1123" i="7"/>
  <c r="C1123" i="7"/>
  <c r="D1122" i="7"/>
  <c r="C1122" i="7"/>
  <c r="C1121" i="7"/>
  <c r="D1121" i="7" s="1"/>
  <c r="C1120" i="7"/>
  <c r="D1120" i="7" s="1"/>
  <c r="C1119" i="7"/>
  <c r="D1119" i="7" s="1"/>
  <c r="C1118" i="7"/>
  <c r="D1118" i="7" s="1"/>
  <c r="C1117" i="7"/>
  <c r="D1117" i="7" s="1"/>
  <c r="D1116" i="7"/>
  <c r="C1116" i="7"/>
  <c r="C1115" i="7"/>
  <c r="D1115" i="7" s="1"/>
  <c r="D1114" i="7"/>
  <c r="C1114" i="7"/>
  <c r="C1113" i="7"/>
  <c r="D1113" i="7" s="1"/>
  <c r="D1112" i="7"/>
  <c r="C1112" i="7"/>
  <c r="C1111" i="7"/>
  <c r="D1111" i="7" s="1"/>
  <c r="D1110" i="7"/>
  <c r="C1110" i="7"/>
  <c r="C1109" i="7"/>
  <c r="D1109" i="7" s="1"/>
  <c r="C1108" i="7"/>
  <c r="D1108" i="7" s="1"/>
  <c r="D1107" i="7"/>
  <c r="C1107" i="7"/>
  <c r="C1106" i="7"/>
  <c r="D1106" i="7" s="1"/>
  <c r="C1105" i="7"/>
  <c r="D1105" i="7" s="1"/>
  <c r="C1104" i="7"/>
  <c r="D1104" i="7" s="1"/>
  <c r="D1103" i="7"/>
  <c r="C1103" i="7"/>
  <c r="C1102" i="7"/>
  <c r="D1102" i="7" s="1"/>
  <c r="C1101" i="7"/>
  <c r="D1101" i="7" s="1"/>
  <c r="D1100" i="7"/>
  <c r="C1100" i="7"/>
  <c r="C1099" i="7"/>
  <c r="D1099" i="7" s="1"/>
  <c r="D1098" i="7"/>
  <c r="C1098" i="7"/>
  <c r="C1097" i="7"/>
  <c r="D1097" i="7" s="1"/>
  <c r="D1096" i="7"/>
  <c r="C1096" i="7"/>
  <c r="C1095" i="7"/>
  <c r="D1095" i="7" s="1"/>
  <c r="D1094" i="7"/>
  <c r="C1094" i="7"/>
  <c r="C1093" i="7"/>
  <c r="D1093" i="7" s="1"/>
  <c r="C1092" i="7"/>
  <c r="D1092" i="7" s="1"/>
  <c r="D1091" i="7"/>
  <c r="C1091" i="7"/>
  <c r="C1090" i="7"/>
  <c r="D1090" i="7" s="1"/>
  <c r="C1089" i="7"/>
  <c r="D1089" i="7" s="1"/>
  <c r="C1088" i="7"/>
  <c r="D1088" i="7" s="1"/>
  <c r="D1087" i="7"/>
  <c r="C1087" i="7"/>
  <c r="C1086" i="7"/>
  <c r="D1086" i="7" s="1"/>
  <c r="C1085" i="7"/>
  <c r="D1085" i="7" s="1"/>
  <c r="D1084" i="7"/>
  <c r="C1084" i="7"/>
  <c r="C1083" i="7"/>
  <c r="D1083" i="7" s="1"/>
  <c r="D1082" i="7"/>
  <c r="C1082" i="7"/>
  <c r="C1081" i="7"/>
  <c r="D1081" i="7" s="1"/>
  <c r="D1080" i="7"/>
  <c r="C1080" i="7"/>
  <c r="C1079" i="7"/>
  <c r="D1079" i="7" s="1"/>
  <c r="D1078" i="7"/>
  <c r="C1078" i="7"/>
  <c r="C1077" i="7"/>
  <c r="D1077" i="7" s="1"/>
  <c r="D1076" i="7"/>
  <c r="C1076" i="7"/>
  <c r="D1075" i="7"/>
  <c r="C1075" i="7"/>
  <c r="C1074" i="7"/>
  <c r="D1074" i="7" s="1"/>
  <c r="C1073" i="7"/>
  <c r="D1073" i="7" s="1"/>
  <c r="C1072" i="7"/>
  <c r="D1072" i="7" s="1"/>
  <c r="D1071" i="7"/>
  <c r="C1071" i="7"/>
  <c r="C1070" i="7"/>
  <c r="D1070" i="7" s="1"/>
  <c r="C1069" i="7"/>
  <c r="D1069" i="7" s="1"/>
  <c r="D1068" i="7"/>
  <c r="C1068" i="7"/>
  <c r="D1067" i="7"/>
  <c r="C1067" i="7"/>
  <c r="D1066" i="7"/>
  <c r="C1066" i="7"/>
  <c r="C1065" i="7"/>
  <c r="D1065" i="7" s="1"/>
  <c r="D1064" i="7"/>
  <c r="C1064" i="7"/>
  <c r="C1063" i="7"/>
  <c r="D1063" i="7" s="1"/>
  <c r="D1062" i="7"/>
  <c r="C1062" i="7"/>
  <c r="C1061" i="7"/>
  <c r="D1061" i="7" s="1"/>
  <c r="D1060" i="7"/>
  <c r="C1060" i="7"/>
  <c r="D1059" i="7"/>
  <c r="C1059" i="7"/>
  <c r="D1058" i="7"/>
  <c r="C1058" i="7"/>
  <c r="C1057" i="7"/>
  <c r="D1057" i="7" s="1"/>
  <c r="D1056" i="7"/>
  <c r="C1056" i="7"/>
  <c r="C1055" i="7"/>
  <c r="D1055" i="7" s="1"/>
  <c r="D1054" i="7"/>
  <c r="C1054" i="7"/>
  <c r="C1053" i="7"/>
  <c r="D1053" i="7" s="1"/>
  <c r="D1052" i="7"/>
  <c r="C1052" i="7"/>
  <c r="C1051" i="7"/>
  <c r="D1051" i="7" s="1"/>
  <c r="D1050" i="7"/>
  <c r="C1050" i="7"/>
  <c r="C1049" i="7"/>
  <c r="D1049" i="7" s="1"/>
  <c r="D1048" i="7"/>
  <c r="C1048" i="7"/>
  <c r="D1047" i="7"/>
  <c r="C1047" i="7"/>
  <c r="D1046" i="7"/>
  <c r="C1046" i="7"/>
  <c r="C1045" i="7"/>
  <c r="D1045" i="7" s="1"/>
  <c r="D1044" i="7"/>
  <c r="C1044" i="7"/>
  <c r="D1043" i="7"/>
  <c r="C1043" i="7"/>
  <c r="D1042" i="7"/>
  <c r="C1042" i="7"/>
  <c r="C1041" i="7"/>
  <c r="D1041" i="7" s="1"/>
  <c r="D1040" i="7"/>
  <c r="C1040" i="7"/>
  <c r="C1039" i="7"/>
  <c r="D1039" i="7" s="1"/>
  <c r="D1038" i="7"/>
  <c r="C1038" i="7"/>
  <c r="C1037" i="7"/>
  <c r="D1037" i="7" s="1"/>
  <c r="D1036" i="7"/>
  <c r="C1036" i="7"/>
  <c r="D1035" i="7"/>
  <c r="C1035" i="7"/>
  <c r="D1034" i="7"/>
  <c r="C1034" i="7"/>
  <c r="C1033" i="7"/>
  <c r="D1033" i="7" s="1"/>
  <c r="D1032" i="7"/>
  <c r="C1032" i="7"/>
  <c r="C1031" i="7"/>
  <c r="D1031" i="7" s="1"/>
  <c r="D1030" i="7"/>
  <c r="C1030" i="7"/>
  <c r="C1029" i="7"/>
  <c r="D1029" i="7" s="1"/>
  <c r="D1028" i="7"/>
  <c r="C1028" i="7"/>
  <c r="C1027" i="7"/>
  <c r="D1027" i="7" s="1"/>
  <c r="D1026" i="7"/>
  <c r="C1026" i="7"/>
  <c r="C1025" i="7"/>
  <c r="D1025" i="7" s="1"/>
  <c r="D1024" i="7"/>
  <c r="C1024" i="7"/>
  <c r="C1023" i="7"/>
  <c r="D1023" i="7" s="1"/>
  <c r="D1022" i="7"/>
  <c r="C1022" i="7"/>
  <c r="C1021" i="7"/>
  <c r="D1021" i="7" s="1"/>
  <c r="D1020" i="7"/>
  <c r="C1020" i="7"/>
  <c r="C1019" i="7"/>
  <c r="D1019" i="7" s="1"/>
  <c r="D1018" i="7"/>
  <c r="C1018" i="7"/>
  <c r="C1017" i="7"/>
  <c r="D1017" i="7" s="1"/>
  <c r="D1016" i="7"/>
  <c r="C1016" i="7"/>
  <c r="D1015" i="7"/>
  <c r="C1015" i="7"/>
  <c r="D1014" i="7"/>
  <c r="C1014" i="7"/>
  <c r="C1013" i="7"/>
  <c r="D1013" i="7" s="1"/>
  <c r="D1012" i="7"/>
  <c r="C1012" i="7"/>
  <c r="D1011" i="7"/>
  <c r="C1011" i="7"/>
  <c r="D1010" i="7"/>
  <c r="C1010" i="7"/>
  <c r="C1009" i="7"/>
  <c r="D1009" i="7" s="1"/>
  <c r="D1008" i="7"/>
  <c r="C1008" i="7"/>
  <c r="D1007" i="7"/>
  <c r="C1007" i="7"/>
  <c r="D1006" i="7"/>
  <c r="C1006" i="7"/>
  <c r="C1005" i="7"/>
  <c r="D1005" i="7" s="1"/>
  <c r="D1004" i="7"/>
  <c r="C1004" i="7"/>
  <c r="C1003" i="7"/>
  <c r="D1003" i="7" s="1"/>
  <c r="D1002" i="7"/>
  <c r="C1002" i="7"/>
  <c r="C1001" i="7"/>
  <c r="D1001" i="7" s="1"/>
  <c r="D1000" i="7"/>
  <c r="C1000" i="7"/>
  <c r="C999" i="7"/>
  <c r="D999" i="7" s="1"/>
  <c r="D998" i="7"/>
  <c r="C998" i="7"/>
  <c r="C997" i="7"/>
  <c r="D997" i="7" s="1"/>
  <c r="D996" i="7"/>
  <c r="C996" i="7"/>
  <c r="D995" i="7"/>
  <c r="C995" i="7"/>
  <c r="D994" i="7"/>
  <c r="C994" i="7"/>
  <c r="C993" i="7"/>
  <c r="D993" i="7" s="1"/>
  <c r="D992" i="7"/>
  <c r="C992" i="7"/>
  <c r="C991" i="7"/>
  <c r="D991" i="7" s="1"/>
  <c r="D990" i="7"/>
  <c r="C990" i="7"/>
  <c r="C989" i="7"/>
  <c r="D989" i="7" s="1"/>
  <c r="D988" i="7"/>
  <c r="C988" i="7"/>
  <c r="C987" i="7"/>
  <c r="D987" i="7" s="1"/>
  <c r="D986" i="7"/>
  <c r="C986" i="7"/>
  <c r="C985" i="7"/>
  <c r="D985" i="7" s="1"/>
  <c r="D984" i="7"/>
  <c r="C984" i="7"/>
  <c r="D983" i="7"/>
  <c r="C983" i="7"/>
  <c r="D982" i="7"/>
  <c r="C982" i="7"/>
  <c r="C981" i="7"/>
  <c r="D981" i="7" s="1"/>
  <c r="D980" i="7"/>
  <c r="C980" i="7"/>
  <c r="C979" i="7"/>
  <c r="D979" i="7" s="1"/>
  <c r="D978" i="7"/>
  <c r="C978" i="7"/>
  <c r="C977" i="7"/>
  <c r="D977" i="7" s="1"/>
  <c r="D976" i="7"/>
  <c r="C976" i="7"/>
  <c r="C975" i="7"/>
  <c r="D975" i="7" s="1"/>
  <c r="D974" i="7"/>
  <c r="C974" i="7"/>
  <c r="C973" i="7"/>
  <c r="D973" i="7" s="1"/>
  <c r="D972" i="7"/>
  <c r="C972" i="7"/>
  <c r="D971" i="7"/>
  <c r="C971" i="7"/>
  <c r="D970" i="7"/>
  <c r="C970" i="7"/>
  <c r="C969" i="7"/>
  <c r="D969" i="7" s="1"/>
  <c r="D968" i="7"/>
  <c r="C968" i="7"/>
  <c r="D967" i="7"/>
  <c r="C967" i="7"/>
  <c r="D966" i="7"/>
  <c r="C966" i="7"/>
  <c r="C965" i="7"/>
  <c r="D965" i="7" s="1"/>
  <c r="D964" i="7"/>
  <c r="C964" i="7"/>
  <c r="D963" i="7"/>
  <c r="C963" i="7"/>
  <c r="D962" i="7"/>
  <c r="C962" i="7"/>
  <c r="C961" i="7"/>
  <c r="D961" i="7" s="1"/>
  <c r="D960" i="7"/>
  <c r="C960" i="7"/>
  <c r="C959" i="7"/>
  <c r="D959" i="7" s="1"/>
  <c r="D958" i="7"/>
  <c r="C958" i="7"/>
  <c r="C957" i="7"/>
  <c r="D957" i="7" s="1"/>
  <c r="D956" i="7"/>
  <c r="C956" i="7"/>
  <c r="C955" i="7"/>
  <c r="D955" i="7" s="1"/>
  <c r="D954" i="7"/>
  <c r="C954" i="7"/>
  <c r="C953" i="7"/>
  <c r="D953" i="7" s="1"/>
  <c r="D952" i="7"/>
  <c r="C952" i="7"/>
  <c r="D951" i="7"/>
  <c r="C951" i="7"/>
  <c r="D950" i="7"/>
  <c r="C950" i="7"/>
  <c r="C949" i="7"/>
  <c r="D949" i="7" s="1"/>
  <c r="D948" i="7"/>
  <c r="C948" i="7"/>
  <c r="D947" i="7"/>
  <c r="C947" i="7"/>
  <c r="D946" i="7"/>
  <c r="C946" i="7"/>
  <c r="C945" i="7"/>
  <c r="D945" i="7" s="1"/>
  <c r="D944" i="7"/>
  <c r="C944" i="7"/>
  <c r="D943" i="7"/>
  <c r="C943" i="7"/>
  <c r="D942" i="7"/>
  <c r="C942" i="7"/>
  <c r="C941" i="7"/>
  <c r="D941" i="7" s="1"/>
  <c r="D940" i="7"/>
  <c r="C940" i="7"/>
  <c r="D939" i="7"/>
  <c r="C939" i="7"/>
  <c r="D938" i="7"/>
  <c r="C938" i="7"/>
  <c r="C937" i="7"/>
  <c r="D937" i="7" s="1"/>
  <c r="D936" i="7"/>
  <c r="C936" i="7"/>
  <c r="C935" i="7"/>
  <c r="D935" i="7" s="1"/>
  <c r="D934" i="7"/>
  <c r="C934" i="7"/>
  <c r="C933" i="7"/>
  <c r="D933" i="7" s="1"/>
  <c r="D932" i="7"/>
  <c r="C932" i="7"/>
  <c r="D931" i="7"/>
  <c r="C931" i="7"/>
  <c r="D930" i="7"/>
  <c r="C930" i="7"/>
  <c r="C929" i="7"/>
  <c r="D929" i="7" s="1"/>
  <c r="D928" i="7"/>
  <c r="C928" i="7"/>
  <c r="C927" i="7"/>
  <c r="D927" i="7" s="1"/>
  <c r="D926" i="7"/>
  <c r="C926" i="7"/>
  <c r="C925" i="7"/>
  <c r="D925" i="7" s="1"/>
  <c r="D924" i="7"/>
  <c r="C924" i="7"/>
  <c r="C923" i="7"/>
  <c r="D923" i="7" s="1"/>
  <c r="D922" i="7"/>
  <c r="C922" i="7"/>
  <c r="C921" i="7"/>
  <c r="D921" i="7" s="1"/>
  <c r="D920" i="7"/>
  <c r="C920" i="7"/>
  <c r="D919" i="7"/>
  <c r="C919" i="7"/>
  <c r="D918" i="7"/>
  <c r="C918" i="7"/>
  <c r="C917" i="7"/>
  <c r="D917" i="7" s="1"/>
  <c r="D916" i="7"/>
  <c r="C916" i="7"/>
  <c r="D915" i="7"/>
  <c r="C915" i="7"/>
  <c r="D914" i="7"/>
  <c r="C914" i="7"/>
  <c r="C913" i="7"/>
  <c r="D913" i="7" s="1"/>
  <c r="D912" i="7"/>
  <c r="C912" i="7"/>
  <c r="C911" i="7"/>
  <c r="D911" i="7" s="1"/>
  <c r="D910" i="7"/>
  <c r="C910" i="7"/>
  <c r="C909" i="7"/>
  <c r="D909" i="7" s="1"/>
  <c r="D908" i="7"/>
  <c r="C908" i="7"/>
  <c r="D907" i="7"/>
  <c r="C907" i="7"/>
  <c r="D906" i="7"/>
  <c r="C906" i="7"/>
  <c r="C905" i="7"/>
  <c r="D905" i="7" s="1"/>
  <c r="D904" i="7"/>
  <c r="C904" i="7"/>
  <c r="D903" i="7"/>
  <c r="C903" i="7"/>
  <c r="D902" i="7"/>
  <c r="C902" i="7"/>
  <c r="C901" i="7"/>
  <c r="D901" i="7" s="1"/>
  <c r="D900" i="7"/>
  <c r="C900" i="7"/>
  <c r="C899" i="7"/>
  <c r="D899" i="7" s="1"/>
  <c r="D898" i="7"/>
  <c r="C898" i="7"/>
  <c r="C897" i="7"/>
  <c r="D897" i="7" s="1"/>
  <c r="D896" i="7"/>
  <c r="C896" i="7"/>
  <c r="C895" i="7"/>
  <c r="D895" i="7" s="1"/>
  <c r="D894" i="7"/>
  <c r="C894" i="7"/>
  <c r="D893" i="7"/>
  <c r="C893" i="7"/>
  <c r="D892" i="7"/>
  <c r="C892" i="7"/>
  <c r="C891" i="7"/>
  <c r="D891" i="7" s="1"/>
  <c r="D890" i="7"/>
  <c r="C890" i="7"/>
  <c r="C889" i="7"/>
  <c r="D889" i="7" s="1"/>
  <c r="D888" i="7"/>
  <c r="C888" i="7"/>
  <c r="C887" i="7"/>
  <c r="D887" i="7" s="1"/>
  <c r="D886" i="7"/>
  <c r="C886" i="7"/>
  <c r="C885" i="7"/>
  <c r="D885" i="7" s="1"/>
  <c r="D884" i="7"/>
  <c r="C884" i="7"/>
  <c r="C883" i="7"/>
  <c r="D883" i="7" s="1"/>
  <c r="D882" i="7"/>
  <c r="C882" i="7"/>
  <c r="C881" i="7"/>
  <c r="D881" i="7" s="1"/>
  <c r="D880" i="7"/>
  <c r="C880" i="7"/>
  <c r="C879" i="7"/>
  <c r="D879" i="7" s="1"/>
  <c r="D878" i="7"/>
  <c r="C878" i="7"/>
  <c r="D877" i="7"/>
  <c r="C877" i="7"/>
  <c r="D876" i="7"/>
  <c r="C876" i="7"/>
  <c r="C875" i="7"/>
  <c r="D875" i="7" s="1"/>
  <c r="D874" i="7"/>
  <c r="C874" i="7"/>
  <c r="D873" i="7"/>
  <c r="C873" i="7"/>
  <c r="D872" i="7"/>
  <c r="C872" i="7"/>
  <c r="C871" i="7"/>
  <c r="D871" i="7" s="1"/>
  <c r="D870" i="7"/>
  <c r="C870" i="7"/>
  <c r="D869" i="7"/>
  <c r="C869" i="7"/>
  <c r="D868" i="7"/>
  <c r="C868" i="7"/>
  <c r="C867" i="7"/>
  <c r="D867" i="7" s="1"/>
  <c r="D866" i="7"/>
  <c r="C866" i="7"/>
  <c r="C865" i="7"/>
  <c r="D865" i="7" s="1"/>
  <c r="D864" i="7"/>
  <c r="C864" i="7"/>
  <c r="C863" i="7"/>
  <c r="D863" i="7" s="1"/>
  <c r="D862" i="7"/>
  <c r="C862" i="7"/>
  <c r="D861" i="7"/>
  <c r="C861" i="7"/>
  <c r="D860" i="7"/>
  <c r="C860" i="7"/>
  <c r="C859" i="7"/>
  <c r="D859" i="7" s="1"/>
  <c r="D858" i="7"/>
  <c r="C858" i="7"/>
  <c r="D857" i="7"/>
  <c r="C857" i="7"/>
  <c r="D856" i="7"/>
  <c r="C856" i="7"/>
  <c r="C855" i="7"/>
  <c r="D855" i="7" s="1"/>
  <c r="D854" i="7"/>
  <c r="C854" i="7"/>
  <c r="C853" i="7"/>
  <c r="D853" i="7" s="1"/>
  <c r="D852" i="7"/>
  <c r="C852" i="7"/>
  <c r="C851" i="7"/>
  <c r="D851" i="7" s="1"/>
  <c r="D850" i="7"/>
  <c r="C850" i="7"/>
  <c r="C849" i="7"/>
  <c r="D849" i="7" s="1"/>
  <c r="D848" i="7"/>
  <c r="C848" i="7"/>
  <c r="C847" i="7"/>
  <c r="D847" i="7" s="1"/>
  <c r="D846" i="7"/>
  <c r="C846" i="7"/>
  <c r="D845" i="7"/>
  <c r="C845" i="7"/>
  <c r="D844" i="7"/>
  <c r="C844" i="7"/>
  <c r="C843" i="7"/>
  <c r="D843" i="7" s="1"/>
  <c r="D842" i="7"/>
  <c r="C842" i="7"/>
  <c r="D841" i="7"/>
  <c r="C841" i="7"/>
  <c r="D840" i="7"/>
  <c r="C840" i="7"/>
  <c r="C839" i="7"/>
  <c r="D839" i="7" s="1"/>
  <c r="D838" i="7"/>
  <c r="C838" i="7"/>
  <c r="D837" i="7"/>
  <c r="C837" i="7"/>
  <c r="D836" i="7"/>
  <c r="C836" i="7"/>
  <c r="C835" i="7"/>
  <c r="D835" i="7" s="1"/>
  <c r="D834" i="7"/>
  <c r="C834" i="7"/>
  <c r="C833" i="7"/>
  <c r="D833" i="7" s="1"/>
  <c r="D832" i="7"/>
  <c r="C832" i="7"/>
  <c r="C831" i="7"/>
  <c r="D831" i="7" s="1"/>
  <c r="D830" i="7"/>
  <c r="C830" i="7"/>
  <c r="D829" i="7"/>
  <c r="C829" i="7"/>
  <c r="D828" i="7"/>
  <c r="C828" i="7"/>
  <c r="C827" i="7"/>
  <c r="D827" i="7" s="1"/>
  <c r="D826" i="7"/>
  <c r="C826" i="7"/>
  <c r="C825" i="7"/>
  <c r="D825" i="7" s="1"/>
  <c r="D824" i="7"/>
  <c r="C824" i="7"/>
  <c r="C823" i="7"/>
  <c r="D823" i="7" s="1"/>
  <c r="D822" i="7"/>
  <c r="C822" i="7"/>
  <c r="C821" i="7"/>
  <c r="D821" i="7" s="1"/>
  <c r="D820" i="7"/>
  <c r="C820" i="7"/>
  <c r="C819" i="7"/>
  <c r="D819" i="7" s="1"/>
  <c r="D818" i="7"/>
  <c r="C818" i="7"/>
  <c r="C817" i="7"/>
  <c r="D817" i="7" s="1"/>
  <c r="D816" i="7"/>
  <c r="C816" i="7"/>
  <c r="C815" i="7"/>
  <c r="D815" i="7" s="1"/>
  <c r="D814" i="7"/>
  <c r="C814" i="7"/>
  <c r="D813" i="7"/>
  <c r="C813" i="7"/>
  <c r="D812" i="7"/>
  <c r="C812" i="7"/>
  <c r="C811" i="7"/>
  <c r="D811" i="7" s="1"/>
  <c r="D810" i="7"/>
  <c r="C810" i="7"/>
  <c r="D809" i="7"/>
  <c r="C809" i="7"/>
  <c r="D808" i="7"/>
  <c r="C808" i="7"/>
  <c r="C807" i="7"/>
  <c r="D807" i="7" s="1"/>
  <c r="D806" i="7"/>
  <c r="C806" i="7"/>
  <c r="D805" i="7"/>
  <c r="C805" i="7"/>
  <c r="D804" i="7"/>
  <c r="C804" i="7"/>
  <c r="C803" i="7"/>
  <c r="D803" i="7" s="1"/>
  <c r="D802" i="7"/>
  <c r="C802" i="7"/>
  <c r="C801" i="7"/>
  <c r="D801" i="7" s="1"/>
  <c r="D800" i="7"/>
  <c r="C800" i="7"/>
  <c r="C799" i="7"/>
  <c r="D799" i="7" s="1"/>
  <c r="D798" i="7"/>
  <c r="C798" i="7"/>
  <c r="D797" i="7"/>
  <c r="C797" i="7"/>
  <c r="D796" i="7"/>
  <c r="C796" i="7"/>
  <c r="C795" i="7"/>
  <c r="D795" i="7" s="1"/>
  <c r="D794" i="7"/>
  <c r="C794" i="7"/>
  <c r="D793" i="7"/>
  <c r="C793" i="7"/>
  <c r="D792" i="7"/>
  <c r="C792" i="7"/>
  <c r="C791" i="7"/>
  <c r="D791" i="7" s="1"/>
  <c r="D790" i="7"/>
  <c r="C790" i="7"/>
  <c r="C789" i="7"/>
  <c r="D789" i="7" s="1"/>
  <c r="D788" i="7"/>
  <c r="C788" i="7"/>
  <c r="C787" i="7"/>
  <c r="D787" i="7" s="1"/>
  <c r="D786" i="7"/>
  <c r="C786" i="7"/>
  <c r="C785" i="7"/>
  <c r="D785" i="7" s="1"/>
  <c r="D784" i="7"/>
  <c r="C784" i="7"/>
  <c r="C783" i="7"/>
  <c r="D783" i="7" s="1"/>
  <c r="D782" i="7"/>
  <c r="C782" i="7"/>
  <c r="D781" i="7"/>
  <c r="C781" i="7"/>
  <c r="D780" i="7"/>
  <c r="C780" i="7"/>
  <c r="C779" i="7"/>
  <c r="D779" i="7" s="1"/>
  <c r="D778" i="7"/>
  <c r="C778" i="7"/>
  <c r="D777" i="7"/>
  <c r="C777" i="7"/>
  <c r="D776" i="7"/>
  <c r="C776" i="7"/>
  <c r="C775" i="7"/>
  <c r="D775" i="7" s="1"/>
  <c r="D774" i="7"/>
  <c r="C774" i="7"/>
  <c r="D773" i="7"/>
  <c r="C773" i="7"/>
  <c r="D772" i="7"/>
  <c r="C772" i="7"/>
  <c r="C771" i="7"/>
  <c r="D771" i="7" s="1"/>
  <c r="D770" i="7"/>
  <c r="C770" i="7"/>
  <c r="C769" i="7"/>
  <c r="D769" i="7" s="1"/>
  <c r="D768" i="7"/>
  <c r="C768" i="7"/>
  <c r="C767" i="7"/>
  <c r="D767" i="7" s="1"/>
  <c r="D766" i="7"/>
  <c r="C766" i="7"/>
  <c r="D765" i="7"/>
  <c r="C765" i="7"/>
  <c r="D764" i="7"/>
  <c r="C764" i="7"/>
  <c r="C763" i="7"/>
  <c r="D763" i="7" s="1"/>
  <c r="D762" i="7"/>
  <c r="C762" i="7"/>
  <c r="C761" i="7"/>
  <c r="D761" i="7" s="1"/>
  <c r="D760" i="7"/>
  <c r="C760" i="7"/>
  <c r="C759" i="7"/>
  <c r="D759" i="7" s="1"/>
  <c r="D758" i="7"/>
  <c r="C758" i="7"/>
  <c r="C757" i="7"/>
  <c r="D757" i="7" s="1"/>
  <c r="D756" i="7"/>
  <c r="C756" i="7"/>
  <c r="C755" i="7"/>
  <c r="D755" i="7" s="1"/>
  <c r="D754" i="7"/>
  <c r="C754" i="7"/>
  <c r="C753" i="7"/>
  <c r="D753" i="7" s="1"/>
  <c r="D752" i="7"/>
  <c r="C752" i="7"/>
  <c r="C751" i="7"/>
  <c r="D751" i="7" s="1"/>
  <c r="D750" i="7"/>
  <c r="C750" i="7"/>
  <c r="D749" i="7"/>
  <c r="C749" i="7"/>
  <c r="D748" i="7"/>
  <c r="C748" i="7"/>
  <c r="C747" i="7"/>
  <c r="D747" i="7" s="1"/>
  <c r="D746" i="7"/>
  <c r="C746" i="7"/>
  <c r="D745" i="7"/>
  <c r="C745" i="7"/>
  <c r="D744" i="7"/>
  <c r="C744" i="7"/>
  <c r="C743" i="7"/>
  <c r="D743" i="7" s="1"/>
  <c r="D742" i="7"/>
  <c r="C742" i="7"/>
  <c r="D741" i="7"/>
  <c r="C741" i="7"/>
  <c r="D740" i="7"/>
  <c r="C740" i="7"/>
  <c r="C739" i="7"/>
  <c r="D739" i="7" s="1"/>
  <c r="D738" i="7"/>
  <c r="C738" i="7"/>
  <c r="C737" i="7"/>
  <c r="D737" i="7" s="1"/>
  <c r="D736" i="7"/>
  <c r="C736" i="7"/>
  <c r="C735" i="7"/>
  <c r="D735" i="7" s="1"/>
  <c r="D734" i="7"/>
  <c r="C734" i="7"/>
  <c r="D733" i="7"/>
  <c r="C733" i="7"/>
  <c r="D732" i="7"/>
  <c r="C732" i="7"/>
  <c r="C731" i="7"/>
  <c r="D731" i="7" s="1"/>
  <c r="D730" i="7"/>
  <c r="C730" i="7"/>
  <c r="D729" i="7"/>
  <c r="C729" i="7"/>
  <c r="D728" i="7"/>
  <c r="C728" i="7"/>
  <c r="C727" i="7"/>
  <c r="D727" i="7" s="1"/>
  <c r="D726" i="7"/>
  <c r="C726" i="7"/>
  <c r="C725" i="7"/>
  <c r="D725" i="7" s="1"/>
  <c r="D724" i="7"/>
  <c r="C724" i="7"/>
  <c r="C723" i="7"/>
  <c r="D723" i="7" s="1"/>
  <c r="D722" i="7"/>
  <c r="C722" i="7"/>
  <c r="C721" i="7"/>
  <c r="D721" i="7" s="1"/>
  <c r="D720" i="7"/>
  <c r="C720" i="7"/>
  <c r="C719" i="7"/>
  <c r="D719" i="7" s="1"/>
  <c r="D718" i="7"/>
  <c r="C718" i="7"/>
  <c r="D717" i="7"/>
  <c r="C717" i="7"/>
  <c r="D716" i="7"/>
  <c r="C716" i="7"/>
  <c r="C715" i="7"/>
  <c r="D715" i="7" s="1"/>
  <c r="D714" i="7"/>
  <c r="C714" i="7"/>
  <c r="D713" i="7"/>
  <c r="C713" i="7"/>
  <c r="D712" i="7"/>
  <c r="C712" i="7"/>
  <c r="C711" i="7"/>
  <c r="D711" i="7" s="1"/>
  <c r="D710" i="7"/>
  <c r="C710" i="7"/>
  <c r="D709" i="7"/>
  <c r="C709" i="7"/>
  <c r="D708" i="7"/>
  <c r="C708" i="7"/>
  <c r="C707" i="7"/>
  <c r="D707" i="7" s="1"/>
  <c r="D706" i="7"/>
  <c r="C706" i="7"/>
  <c r="C705" i="7"/>
  <c r="D705" i="7" s="1"/>
  <c r="D704" i="7"/>
  <c r="C704" i="7"/>
  <c r="C703" i="7"/>
  <c r="D703" i="7" s="1"/>
  <c r="D702" i="7"/>
  <c r="C702" i="7"/>
  <c r="D701" i="7"/>
  <c r="C701" i="7"/>
  <c r="D700" i="7"/>
  <c r="C700" i="7"/>
  <c r="C699" i="7"/>
  <c r="D699" i="7" s="1"/>
  <c r="D698" i="7"/>
  <c r="C698" i="7"/>
  <c r="C697" i="7"/>
  <c r="D697" i="7" s="1"/>
  <c r="D696" i="7"/>
  <c r="C696" i="7"/>
  <c r="C695" i="7"/>
  <c r="D695" i="7" s="1"/>
  <c r="D694" i="7"/>
  <c r="C694" i="7"/>
  <c r="C693" i="7"/>
  <c r="D693" i="7" s="1"/>
  <c r="D692" i="7"/>
  <c r="C692" i="7"/>
  <c r="C691" i="7"/>
  <c r="D691" i="7" s="1"/>
  <c r="D690" i="7"/>
  <c r="C690" i="7"/>
  <c r="C689" i="7"/>
  <c r="D689" i="7" s="1"/>
  <c r="D688" i="7"/>
  <c r="C688" i="7"/>
  <c r="C687" i="7"/>
  <c r="D687" i="7" s="1"/>
  <c r="D686" i="7"/>
  <c r="C686" i="7"/>
  <c r="D685" i="7"/>
  <c r="C685" i="7"/>
  <c r="D684" i="7"/>
  <c r="C684" i="7"/>
  <c r="C683" i="7"/>
  <c r="D683" i="7" s="1"/>
  <c r="D682" i="7"/>
  <c r="C682" i="7"/>
  <c r="D681" i="7"/>
  <c r="C681" i="7"/>
  <c r="D680" i="7"/>
  <c r="C680" i="7"/>
  <c r="C679" i="7"/>
  <c r="D679" i="7" s="1"/>
  <c r="D678" i="7"/>
  <c r="C678" i="7"/>
  <c r="D677" i="7"/>
  <c r="C677" i="7"/>
  <c r="D676" i="7"/>
  <c r="C676" i="7"/>
  <c r="C675" i="7"/>
  <c r="D675" i="7" s="1"/>
  <c r="D674" i="7"/>
  <c r="C674" i="7"/>
  <c r="C673" i="7"/>
  <c r="D673" i="7" s="1"/>
  <c r="D672" i="7"/>
  <c r="C672" i="7"/>
  <c r="C671" i="7"/>
  <c r="D671" i="7" s="1"/>
  <c r="D670" i="7"/>
  <c r="C670" i="7"/>
  <c r="D669" i="7"/>
  <c r="C669" i="7"/>
  <c r="D668" i="7"/>
  <c r="C668" i="7"/>
  <c r="C667" i="7"/>
  <c r="D667" i="7" s="1"/>
  <c r="D666" i="7"/>
  <c r="C666" i="7"/>
  <c r="C665" i="7"/>
  <c r="D665" i="7" s="1"/>
  <c r="D664" i="7"/>
  <c r="C664" i="7"/>
  <c r="C663" i="7"/>
  <c r="D663" i="7" s="1"/>
  <c r="D662" i="7"/>
  <c r="C662" i="7"/>
  <c r="C661" i="7"/>
  <c r="D661" i="7" s="1"/>
  <c r="D660" i="7"/>
  <c r="C660" i="7"/>
  <c r="C659" i="7"/>
  <c r="D659" i="7" s="1"/>
  <c r="D658" i="7"/>
  <c r="C658" i="7"/>
  <c r="C657" i="7"/>
  <c r="D657" i="7" s="1"/>
  <c r="D656" i="7"/>
  <c r="C656" i="7"/>
  <c r="C655" i="7"/>
  <c r="D655" i="7" s="1"/>
  <c r="D654" i="7"/>
  <c r="C654" i="7"/>
  <c r="D653" i="7"/>
  <c r="C653" i="7"/>
  <c r="D652" i="7"/>
  <c r="C652" i="7"/>
  <c r="C651" i="7"/>
  <c r="D651" i="7" s="1"/>
  <c r="D650" i="7"/>
  <c r="C650" i="7"/>
  <c r="D649" i="7"/>
  <c r="C649" i="7"/>
  <c r="D648" i="7"/>
  <c r="C648" i="7"/>
  <c r="C647" i="7"/>
  <c r="D647" i="7" s="1"/>
  <c r="D646" i="7"/>
  <c r="C646" i="7"/>
  <c r="D645" i="7"/>
  <c r="C645" i="7"/>
  <c r="D644" i="7"/>
  <c r="C644" i="7"/>
  <c r="C643" i="7"/>
  <c r="D643" i="7" s="1"/>
  <c r="D642" i="7"/>
  <c r="C642" i="7"/>
  <c r="C641" i="7"/>
  <c r="D641" i="7" s="1"/>
  <c r="D640" i="7"/>
  <c r="C640" i="7"/>
  <c r="C639" i="7"/>
  <c r="D639" i="7" s="1"/>
  <c r="D638" i="7"/>
  <c r="C638" i="7"/>
  <c r="D637" i="7"/>
  <c r="C637" i="7"/>
  <c r="D636" i="7"/>
  <c r="C636" i="7"/>
  <c r="C635" i="7"/>
  <c r="D635" i="7" s="1"/>
  <c r="D634" i="7"/>
  <c r="C634" i="7"/>
  <c r="C633" i="7"/>
  <c r="D633" i="7" s="1"/>
  <c r="D632" i="7"/>
  <c r="C632" i="7"/>
  <c r="C631" i="7"/>
  <c r="D631" i="7" s="1"/>
  <c r="D630" i="7"/>
  <c r="C630" i="7"/>
  <c r="C629" i="7"/>
  <c r="D629" i="7" s="1"/>
  <c r="D628" i="7"/>
  <c r="C628" i="7"/>
  <c r="C627" i="7"/>
  <c r="D627" i="7" s="1"/>
  <c r="D626" i="7"/>
  <c r="C626" i="7"/>
  <c r="C625" i="7"/>
  <c r="D625" i="7" s="1"/>
  <c r="D624" i="7"/>
  <c r="C624" i="7"/>
  <c r="C623" i="7"/>
  <c r="D623" i="7" s="1"/>
  <c r="D622" i="7"/>
  <c r="C622" i="7"/>
  <c r="D621" i="7"/>
  <c r="C621" i="7"/>
  <c r="D620" i="7"/>
  <c r="C620" i="7"/>
  <c r="C619" i="7"/>
  <c r="D619" i="7" s="1"/>
  <c r="D618" i="7"/>
  <c r="C618" i="7"/>
  <c r="D617" i="7"/>
  <c r="C617" i="7"/>
  <c r="D616" i="7"/>
  <c r="C616" i="7"/>
  <c r="C615" i="7"/>
  <c r="D615" i="7" s="1"/>
  <c r="D614" i="7"/>
  <c r="C614" i="7"/>
  <c r="D613" i="7"/>
  <c r="C613" i="7"/>
  <c r="D612" i="7"/>
  <c r="C612" i="7"/>
  <c r="C611" i="7"/>
  <c r="D611" i="7" s="1"/>
  <c r="D610" i="7"/>
  <c r="C610" i="7"/>
  <c r="C609" i="7"/>
  <c r="D609" i="7" s="1"/>
  <c r="D608" i="7"/>
  <c r="C608" i="7"/>
  <c r="C607" i="7"/>
  <c r="D607" i="7" s="1"/>
  <c r="D606" i="7"/>
  <c r="C606" i="7"/>
  <c r="D605" i="7"/>
  <c r="C605" i="7"/>
  <c r="D604" i="7"/>
  <c r="C604" i="7"/>
  <c r="C603" i="7"/>
  <c r="D603" i="7" s="1"/>
  <c r="D602" i="7"/>
  <c r="C602" i="7"/>
  <c r="D601" i="7"/>
  <c r="C601" i="7"/>
  <c r="D600" i="7"/>
  <c r="C600" i="7"/>
  <c r="C599" i="7"/>
  <c r="D599" i="7" s="1"/>
  <c r="D598" i="7"/>
  <c r="C598" i="7"/>
  <c r="C597" i="7"/>
  <c r="D597" i="7" s="1"/>
  <c r="D596" i="7"/>
  <c r="C596" i="7"/>
  <c r="C595" i="7"/>
  <c r="D595" i="7" s="1"/>
  <c r="D594" i="7"/>
  <c r="C594" i="7"/>
  <c r="C593" i="7"/>
  <c r="D593" i="7" s="1"/>
  <c r="D592" i="7"/>
  <c r="C592" i="7"/>
  <c r="C591" i="7"/>
  <c r="D591" i="7" s="1"/>
  <c r="D590" i="7"/>
  <c r="C590" i="7"/>
  <c r="D589" i="7"/>
  <c r="C589" i="7"/>
  <c r="D588" i="7"/>
  <c r="C588" i="7"/>
  <c r="C587" i="7"/>
  <c r="D587" i="7" s="1"/>
  <c r="D586" i="7"/>
  <c r="C586" i="7"/>
  <c r="D585" i="7"/>
  <c r="C585" i="7"/>
  <c r="D584" i="7"/>
  <c r="C584" i="7"/>
  <c r="C583" i="7"/>
  <c r="D583" i="7" s="1"/>
  <c r="D582" i="7"/>
  <c r="C582" i="7"/>
  <c r="D581" i="7"/>
  <c r="C581" i="7"/>
  <c r="D580" i="7"/>
  <c r="C580" i="7"/>
  <c r="C579" i="7"/>
  <c r="D579" i="7" s="1"/>
  <c r="D578" i="7"/>
  <c r="C578" i="7"/>
  <c r="C577" i="7"/>
  <c r="D577" i="7" s="1"/>
  <c r="D576" i="7"/>
  <c r="C576" i="7"/>
  <c r="C575" i="7"/>
  <c r="D575" i="7" s="1"/>
  <c r="D574" i="7"/>
  <c r="C574" i="7"/>
  <c r="D573" i="7"/>
  <c r="C573" i="7"/>
  <c r="D572" i="7"/>
  <c r="C572" i="7"/>
  <c r="C571" i="7"/>
  <c r="D571" i="7" s="1"/>
  <c r="D570" i="7"/>
  <c r="C570" i="7"/>
  <c r="C569" i="7"/>
  <c r="D569" i="7" s="1"/>
  <c r="D568" i="7"/>
  <c r="C568" i="7"/>
  <c r="C567" i="7"/>
  <c r="D567" i="7" s="1"/>
  <c r="D566" i="7"/>
  <c r="C566" i="7"/>
  <c r="C565" i="7"/>
  <c r="D565" i="7" s="1"/>
  <c r="D564" i="7"/>
  <c r="C564" i="7"/>
  <c r="C563" i="7"/>
  <c r="D563" i="7" s="1"/>
  <c r="D562" i="7"/>
  <c r="C562" i="7"/>
  <c r="C561" i="7"/>
  <c r="D561" i="7" s="1"/>
  <c r="D560" i="7"/>
  <c r="C560" i="7"/>
  <c r="C559" i="7"/>
  <c r="D559" i="7" s="1"/>
  <c r="D558" i="7"/>
  <c r="C558" i="7"/>
  <c r="D557" i="7"/>
  <c r="C557" i="7"/>
  <c r="D556" i="7"/>
  <c r="C556" i="7"/>
  <c r="C555" i="7"/>
  <c r="D555" i="7" s="1"/>
  <c r="D554" i="7"/>
  <c r="C554" i="7"/>
  <c r="D553" i="7"/>
  <c r="C553" i="7"/>
  <c r="D552" i="7"/>
  <c r="C552" i="7"/>
  <c r="C551" i="7"/>
  <c r="D551" i="7" s="1"/>
  <c r="D550" i="7"/>
  <c r="C550" i="7"/>
  <c r="D549" i="7"/>
  <c r="C549" i="7"/>
  <c r="D548" i="7"/>
  <c r="C548" i="7"/>
  <c r="C547" i="7"/>
  <c r="D547" i="7" s="1"/>
  <c r="D546" i="7"/>
  <c r="C546" i="7"/>
  <c r="C545" i="7"/>
  <c r="D545" i="7" s="1"/>
  <c r="D544" i="7"/>
  <c r="C544" i="7"/>
  <c r="C543" i="7"/>
  <c r="D543" i="7" s="1"/>
  <c r="D542" i="7"/>
  <c r="C542" i="7"/>
  <c r="D541" i="7"/>
  <c r="C541" i="7"/>
  <c r="D540" i="7"/>
  <c r="C540" i="7"/>
  <c r="C539" i="7"/>
  <c r="D539" i="7" s="1"/>
  <c r="D538" i="7"/>
  <c r="C538" i="7"/>
  <c r="D537" i="7"/>
  <c r="C537" i="7"/>
  <c r="D536" i="7"/>
  <c r="C536" i="7"/>
  <c r="C535" i="7"/>
  <c r="D535" i="7" s="1"/>
  <c r="D534" i="7"/>
  <c r="C534" i="7"/>
  <c r="C533" i="7"/>
  <c r="D533" i="7" s="1"/>
  <c r="D532" i="7"/>
  <c r="C532" i="7"/>
  <c r="C531" i="7"/>
  <c r="D531" i="7" s="1"/>
  <c r="D530" i="7"/>
  <c r="C530" i="7"/>
  <c r="C529" i="7"/>
  <c r="D529" i="7" s="1"/>
  <c r="D528" i="7"/>
  <c r="C528" i="7"/>
  <c r="C527" i="7"/>
  <c r="D527" i="7" s="1"/>
  <c r="D526" i="7"/>
  <c r="C526" i="7"/>
  <c r="D525" i="7"/>
  <c r="C525" i="7"/>
  <c r="D524" i="7"/>
  <c r="C524" i="7"/>
  <c r="C523" i="7"/>
  <c r="D523" i="7" s="1"/>
  <c r="D522" i="7"/>
  <c r="C522" i="7"/>
  <c r="D521" i="7"/>
  <c r="C521" i="7"/>
  <c r="D520" i="7"/>
  <c r="C520" i="7"/>
  <c r="C519" i="7"/>
  <c r="D519" i="7" s="1"/>
  <c r="D518" i="7"/>
  <c r="C518" i="7"/>
  <c r="D517" i="7"/>
  <c r="C517" i="7"/>
  <c r="D516" i="7"/>
  <c r="C516" i="7"/>
  <c r="C515" i="7"/>
  <c r="D515" i="7" s="1"/>
  <c r="D514" i="7"/>
  <c r="C514" i="7"/>
  <c r="C513" i="7"/>
  <c r="D513" i="7" s="1"/>
  <c r="D512" i="7"/>
  <c r="C512" i="7"/>
  <c r="C511" i="7"/>
  <c r="D511" i="7" s="1"/>
  <c r="D510" i="7"/>
  <c r="C510" i="7"/>
  <c r="D509" i="7"/>
  <c r="C509" i="7"/>
  <c r="D508" i="7"/>
  <c r="C508" i="7"/>
  <c r="C507" i="7"/>
  <c r="D507" i="7" s="1"/>
  <c r="D506" i="7"/>
  <c r="C506" i="7"/>
  <c r="C505" i="7"/>
  <c r="D505" i="7" s="1"/>
  <c r="D504" i="7"/>
  <c r="C504" i="7"/>
  <c r="C503" i="7"/>
  <c r="D503" i="7" s="1"/>
  <c r="D502" i="7"/>
  <c r="C502" i="7"/>
  <c r="C501" i="7"/>
  <c r="D501" i="7" s="1"/>
  <c r="D500" i="7"/>
  <c r="C500" i="7"/>
  <c r="C499" i="7"/>
  <c r="D499" i="7" s="1"/>
  <c r="D498" i="7"/>
  <c r="C498" i="7"/>
  <c r="C497" i="7"/>
  <c r="D497" i="7" s="1"/>
  <c r="D496" i="7"/>
  <c r="C496" i="7"/>
  <c r="C495" i="7"/>
  <c r="D495" i="7" s="1"/>
  <c r="D494" i="7"/>
  <c r="C494" i="7"/>
  <c r="D493" i="7"/>
  <c r="C493" i="7"/>
  <c r="D492" i="7"/>
  <c r="C492" i="7"/>
  <c r="C491" i="7"/>
  <c r="D491" i="7" s="1"/>
  <c r="D490" i="7"/>
  <c r="C490" i="7"/>
  <c r="D489" i="7"/>
  <c r="C489" i="7"/>
  <c r="D488" i="7"/>
  <c r="C488" i="7"/>
  <c r="C487" i="7"/>
  <c r="D487" i="7" s="1"/>
  <c r="D486" i="7"/>
  <c r="C486" i="7"/>
  <c r="D485" i="7"/>
  <c r="C485" i="7"/>
  <c r="D484" i="7"/>
  <c r="C484" i="7"/>
  <c r="C483" i="7"/>
  <c r="D483" i="7" s="1"/>
  <c r="D482" i="7"/>
  <c r="C482" i="7"/>
  <c r="C481" i="7"/>
  <c r="D481" i="7" s="1"/>
  <c r="D480" i="7"/>
  <c r="C480" i="7"/>
  <c r="C479" i="7"/>
  <c r="D479" i="7" s="1"/>
  <c r="D478" i="7"/>
  <c r="C478" i="7"/>
  <c r="D477" i="7"/>
  <c r="C477" i="7"/>
  <c r="D476" i="7"/>
  <c r="C476" i="7"/>
  <c r="C475" i="7"/>
  <c r="D475" i="7" s="1"/>
  <c r="D474" i="7"/>
  <c r="C474" i="7"/>
  <c r="D473" i="7"/>
  <c r="C473" i="7"/>
  <c r="D472" i="7"/>
  <c r="C472" i="7"/>
  <c r="C471" i="7"/>
  <c r="D471" i="7" s="1"/>
  <c r="D470" i="7"/>
  <c r="C470" i="7"/>
  <c r="C469" i="7"/>
  <c r="D469" i="7" s="1"/>
  <c r="D468" i="7"/>
  <c r="C468" i="7"/>
  <c r="C467" i="7"/>
  <c r="D467" i="7" s="1"/>
  <c r="D466" i="7"/>
  <c r="C466" i="7"/>
  <c r="C465" i="7"/>
  <c r="D465" i="7" s="1"/>
  <c r="D464" i="7"/>
  <c r="C464" i="7"/>
  <c r="C463" i="7"/>
  <c r="D463" i="7" s="1"/>
  <c r="D462" i="7"/>
  <c r="C462" i="7"/>
  <c r="D461" i="7"/>
  <c r="C461" i="7"/>
  <c r="D460" i="7"/>
  <c r="C460" i="7"/>
  <c r="C459" i="7"/>
  <c r="D459" i="7" s="1"/>
  <c r="D458" i="7"/>
  <c r="C458" i="7"/>
  <c r="C457" i="7"/>
  <c r="D457" i="7" s="1"/>
  <c r="D456" i="7"/>
  <c r="C456" i="7"/>
  <c r="C455" i="7"/>
  <c r="D455" i="7" s="1"/>
  <c r="D454" i="7"/>
  <c r="C454" i="7"/>
  <c r="D453" i="7"/>
  <c r="C453" i="7"/>
  <c r="D452" i="7"/>
  <c r="C452" i="7"/>
  <c r="C451" i="7"/>
  <c r="D451" i="7" s="1"/>
  <c r="D450" i="7"/>
  <c r="C450" i="7"/>
  <c r="C449" i="7"/>
  <c r="D449" i="7" s="1"/>
  <c r="D448" i="7"/>
  <c r="C448" i="7"/>
  <c r="C447" i="7"/>
  <c r="D447" i="7" s="1"/>
  <c r="D446" i="7"/>
  <c r="C446" i="7"/>
  <c r="D445" i="7"/>
  <c r="C445" i="7"/>
  <c r="D444" i="7"/>
  <c r="C444" i="7"/>
  <c r="C443" i="7"/>
  <c r="D443" i="7" s="1"/>
  <c r="D442" i="7"/>
  <c r="C442" i="7"/>
  <c r="D441" i="7"/>
  <c r="C441" i="7"/>
  <c r="D440" i="7"/>
  <c r="C440" i="7"/>
  <c r="C439" i="7"/>
  <c r="D439" i="7" s="1"/>
  <c r="D438" i="7"/>
  <c r="C438" i="7"/>
  <c r="C437" i="7"/>
  <c r="D437" i="7" s="1"/>
  <c r="D436" i="7"/>
  <c r="C436" i="7"/>
  <c r="C435" i="7"/>
  <c r="D435" i="7" s="1"/>
  <c r="D434" i="7"/>
  <c r="C434" i="7"/>
  <c r="C433" i="7"/>
  <c r="D433" i="7" s="1"/>
  <c r="D432" i="7"/>
  <c r="C432" i="7"/>
  <c r="C431" i="7"/>
  <c r="D431" i="7" s="1"/>
  <c r="D430" i="7"/>
  <c r="C430" i="7"/>
  <c r="D429" i="7"/>
  <c r="C429" i="7"/>
  <c r="D428" i="7"/>
  <c r="C428" i="7"/>
  <c r="C427" i="7"/>
  <c r="D427" i="7" s="1"/>
  <c r="D426" i="7"/>
  <c r="C426" i="7"/>
  <c r="C425" i="7"/>
  <c r="D425" i="7" s="1"/>
  <c r="D424" i="7"/>
  <c r="C424" i="7"/>
  <c r="C423" i="7"/>
  <c r="D423" i="7" s="1"/>
  <c r="D422" i="7"/>
  <c r="C422" i="7"/>
  <c r="D421" i="7"/>
  <c r="C421" i="7"/>
  <c r="D420" i="7"/>
  <c r="C420" i="7"/>
  <c r="C419" i="7"/>
  <c r="D419" i="7" s="1"/>
  <c r="D418" i="7"/>
  <c r="C418" i="7"/>
  <c r="C417" i="7"/>
  <c r="D417" i="7" s="1"/>
  <c r="D416" i="7"/>
  <c r="C416" i="7"/>
  <c r="C415" i="7"/>
  <c r="D415" i="7" s="1"/>
  <c r="D414" i="7"/>
  <c r="C414" i="7"/>
  <c r="D413" i="7"/>
  <c r="C413" i="7"/>
  <c r="D412" i="7"/>
  <c r="C412" i="7"/>
  <c r="C411" i="7"/>
  <c r="D411" i="7" s="1"/>
  <c r="D410" i="7"/>
  <c r="C410" i="7"/>
  <c r="D409" i="7"/>
  <c r="C409" i="7"/>
  <c r="D408" i="7"/>
  <c r="C408" i="7"/>
  <c r="C407" i="7"/>
  <c r="D407" i="7" s="1"/>
  <c r="D406" i="7"/>
  <c r="C406" i="7"/>
  <c r="C405" i="7"/>
  <c r="D405" i="7" s="1"/>
  <c r="D404" i="7"/>
  <c r="C404" i="7"/>
  <c r="C403" i="7"/>
  <c r="D403" i="7" s="1"/>
  <c r="D402" i="7"/>
  <c r="C402" i="7"/>
  <c r="C401" i="7"/>
  <c r="D401" i="7" s="1"/>
  <c r="D400" i="7"/>
  <c r="C400" i="7"/>
  <c r="C399" i="7"/>
  <c r="D399" i="7" s="1"/>
  <c r="D398" i="7"/>
  <c r="C398" i="7"/>
  <c r="D397" i="7"/>
  <c r="C397" i="7"/>
  <c r="D396" i="7"/>
  <c r="C396" i="7"/>
  <c r="C395" i="7"/>
  <c r="D395" i="7" s="1"/>
  <c r="D394" i="7"/>
  <c r="C394" i="7"/>
  <c r="C393" i="7"/>
  <c r="D393" i="7" s="1"/>
  <c r="D392" i="7"/>
  <c r="C392" i="7"/>
  <c r="C391" i="7"/>
  <c r="D391" i="7" s="1"/>
  <c r="D390" i="7"/>
  <c r="C390" i="7"/>
  <c r="D389" i="7"/>
  <c r="C389" i="7"/>
  <c r="D388" i="7"/>
  <c r="C388" i="7"/>
  <c r="C387" i="7"/>
  <c r="D387" i="7" s="1"/>
  <c r="D386" i="7"/>
  <c r="C386" i="7"/>
  <c r="C385" i="7"/>
  <c r="D385" i="7" s="1"/>
  <c r="D384" i="7"/>
  <c r="C384" i="7"/>
  <c r="C383" i="7"/>
  <c r="D383" i="7" s="1"/>
  <c r="D382" i="7"/>
  <c r="C382" i="7"/>
  <c r="D381" i="7"/>
  <c r="C381" i="7"/>
  <c r="D380" i="7"/>
  <c r="C380" i="7"/>
  <c r="C379" i="7"/>
  <c r="D379" i="7" s="1"/>
  <c r="D378" i="7"/>
  <c r="C378" i="7"/>
  <c r="D377" i="7"/>
  <c r="C377" i="7"/>
  <c r="D376" i="7"/>
  <c r="C376" i="7"/>
  <c r="C375" i="7"/>
  <c r="D375" i="7" s="1"/>
  <c r="D374" i="7"/>
  <c r="C374" i="7"/>
  <c r="C373" i="7"/>
  <c r="D373" i="7" s="1"/>
  <c r="D372" i="7"/>
  <c r="C372" i="7"/>
  <c r="C371" i="7"/>
  <c r="D371" i="7" s="1"/>
  <c r="D370" i="7"/>
  <c r="C370" i="7"/>
  <c r="C369" i="7"/>
  <c r="D369" i="7" s="1"/>
  <c r="D368" i="7"/>
  <c r="C368" i="7"/>
  <c r="C367" i="7"/>
  <c r="D367" i="7" s="1"/>
  <c r="D366" i="7"/>
  <c r="C366" i="7"/>
  <c r="D365" i="7"/>
  <c r="C365" i="7"/>
  <c r="D364" i="7"/>
  <c r="C364" i="7"/>
  <c r="C363" i="7"/>
  <c r="D363" i="7" s="1"/>
  <c r="D362" i="7"/>
  <c r="C362" i="7"/>
  <c r="C361" i="7"/>
  <c r="D361" i="7" s="1"/>
  <c r="D360" i="7"/>
  <c r="C360" i="7"/>
  <c r="C359" i="7"/>
  <c r="D359" i="7" s="1"/>
  <c r="D358" i="7"/>
  <c r="C358" i="7"/>
  <c r="D357" i="7"/>
  <c r="C357" i="7"/>
  <c r="D356" i="7"/>
  <c r="C356" i="7"/>
  <c r="C355" i="7"/>
  <c r="D355" i="7" s="1"/>
  <c r="D354" i="7"/>
  <c r="C354" i="7"/>
  <c r="C353" i="7"/>
  <c r="D353" i="7" s="1"/>
  <c r="D352" i="7"/>
  <c r="C352" i="7"/>
  <c r="C351" i="7"/>
  <c r="D351" i="7" s="1"/>
  <c r="D350" i="7"/>
  <c r="C350" i="7"/>
  <c r="D349" i="7"/>
  <c r="C349" i="7"/>
  <c r="D348" i="7"/>
  <c r="C348" i="7"/>
  <c r="C347" i="7"/>
  <c r="D347" i="7" s="1"/>
  <c r="D346" i="7"/>
  <c r="C346" i="7"/>
  <c r="D345" i="7"/>
  <c r="C345" i="7"/>
  <c r="D344" i="7"/>
  <c r="C344" i="7"/>
  <c r="C343" i="7"/>
  <c r="D343" i="7" s="1"/>
  <c r="D342" i="7"/>
  <c r="C342" i="7"/>
  <c r="C341" i="7"/>
  <c r="D341" i="7" s="1"/>
  <c r="D340" i="7"/>
  <c r="C340" i="7"/>
  <c r="C339" i="7"/>
  <c r="D339" i="7" s="1"/>
  <c r="D338" i="7"/>
  <c r="C338" i="7"/>
  <c r="C337" i="7"/>
  <c r="D337" i="7" s="1"/>
  <c r="D336" i="7"/>
  <c r="C336" i="7"/>
  <c r="C335" i="7"/>
  <c r="D335" i="7" s="1"/>
  <c r="D334" i="7"/>
  <c r="C334" i="7"/>
  <c r="D333" i="7"/>
  <c r="C333" i="7"/>
  <c r="D332" i="7"/>
  <c r="C332" i="7"/>
  <c r="C331" i="7"/>
  <c r="D331" i="7" s="1"/>
  <c r="D330" i="7"/>
  <c r="C330" i="7"/>
  <c r="C329" i="7"/>
  <c r="D329" i="7" s="1"/>
  <c r="D328" i="7"/>
  <c r="C328" i="7"/>
  <c r="C327" i="7"/>
  <c r="D327" i="7" s="1"/>
  <c r="D326" i="7"/>
  <c r="C326" i="7"/>
  <c r="D325" i="7"/>
  <c r="C325" i="7"/>
  <c r="D324" i="7"/>
  <c r="C324" i="7"/>
  <c r="C323" i="7"/>
  <c r="D323" i="7" s="1"/>
  <c r="D322" i="7"/>
  <c r="C322" i="7"/>
  <c r="C321" i="7"/>
  <c r="D321" i="7" s="1"/>
  <c r="D320" i="7"/>
  <c r="C320" i="7"/>
  <c r="C319" i="7"/>
  <c r="D319" i="7" s="1"/>
  <c r="D318" i="7"/>
  <c r="C318" i="7"/>
  <c r="D317" i="7"/>
  <c r="C317" i="7"/>
  <c r="D316" i="7"/>
  <c r="C316" i="7"/>
  <c r="C315" i="7"/>
  <c r="D315" i="7" s="1"/>
  <c r="D314" i="7"/>
  <c r="C314" i="7"/>
  <c r="D313" i="7"/>
  <c r="C313" i="7"/>
  <c r="D312" i="7"/>
  <c r="C312" i="7"/>
  <c r="C311" i="7"/>
  <c r="D311" i="7" s="1"/>
  <c r="D310" i="7"/>
  <c r="C310" i="7"/>
  <c r="C309" i="7"/>
  <c r="D309" i="7" s="1"/>
  <c r="D308" i="7"/>
  <c r="C308" i="7"/>
  <c r="C307" i="7"/>
  <c r="D307" i="7" s="1"/>
  <c r="D306" i="7"/>
  <c r="C306" i="7"/>
  <c r="C305" i="7"/>
  <c r="D305" i="7" s="1"/>
  <c r="D304" i="7"/>
  <c r="C304" i="7"/>
  <c r="C303" i="7"/>
  <c r="D303" i="7" s="1"/>
  <c r="D302" i="7"/>
  <c r="C302" i="7"/>
  <c r="D301" i="7"/>
  <c r="C301" i="7"/>
  <c r="D300" i="7"/>
  <c r="C300" i="7"/>
  <c r="C299" i="7"/>
  <c r="D299" i="7" s="1"/>
  <c r="D298" i="7"/>
  <c r="C298" i="7"/>
  <c r="C297" i="7"/>
  <c r="D297" i="7" s="1"/>
  <c r="D296" i="7"/>
  <c r="C296" i="7"/>
  <c r="C295" i="7"/>
  <c r="D295" i="7" s="1"/>
  <c r="D294" i="7"/>
  <c r="C294" i="7"/>
  <c r="C293" i="7"/>
  <c r="D293" i="7" s="1"/>
  <c r="D292" i="7"/>
  <c r="C292" i="7"/>
  <c r="D291" i="7"/>
  <c r="C291" i="7"/>
  <c r="D290" i="7"/>
  <c r="C290" i="7"/>
  <c r="C289" i="7"/>
  <c r="D289" i="7" s="1"/>
  <c r="D288" i="7"/>
  <c r="C288" i="7"/>
  <c r="C287" i="7"/>
  <c r="D287" i="7" s="1"/>
  <c r="D286" i="7"/>
  <c r="C286" i="7"/>
  <c r="C285" i="7"/>
  <c r="D285" i="7" s="1"/>
  <c r="D284" i="7"/>
  <c r="C284" i="7"/>
  <c r="D283" i="7"/>
  <c r="C283" i="7"/>
  <c r="D282" i="7"/>
  <c r="C282" i="7"/>
  <c r="C281" i="7"/>
  <c r="D281" i="7" s="1"/>
  <c r="D280" i="7"/>
  <c r="C280" i="7"/>
  <c r="C279" i="7"/>
  <c r="D279" i="7" s="1"/>
  <c r="D278" i="7"/>
  <c r="C278" i="7"/>
  <c r="C277" i="7"/>
  <c r="D277" i="7" s="1"/>
  <c r="D276" i="7"/>
  <c r="C276" i="7"/>
  <c r="D275" i="7"/>
  <c r="C275" i="7"/>
  <c r="D274" i="7"/>
  <c r="C274" i="7"/>
  <c r="C273" i="7"/>
  <c r="D273" i="7" s="1"/>
  <c r="D272" i="7"/>
  <c r="C272" i="7"/>
  <c r="D271" i="7"/>
  <c r="C271" i="7"/>
  <c r="D270" i="7"/>
  <c r="C270" i="7"/>
  <c r="C269" i="7"/>
  <c r="D269" i="7" s="1"/>
  <c r="D268" i="7"/>
  <c r="C268" i="7"/>
  <c r="C267" i="7"/>
  <c r="D267" i="7" s="1"/>
  <c r="C266" i="7"/>
  <c r="D266" i="7" s="1"/>
  <c r="D265" i="7"/>
  <c r="C265" i="7"/>
  <c r="D264" i="7"/>
  <c r="C264" i="7"/>
  <c r="C263" i="7"/>
  <c r="D263" i="7" s="1"/>
  <c r="C262" i="7"/>
  <c r="D262" i="7" s="1"/>
  <c r="D261" i="7"/>
  <c r="C261" i="7"/>
  <c r="D260" i="7"/>
  <c r="C260" i="7"/>
  <c r="D259" i="7"/>
  <c r="C259" i="7"/>
  <c r="C258" i="7"/>
  <c r="D258" i="7" s="1"/>
  <c r="C257" i="7"/>
  <c r="D257" i="7" s="1"/>
  <c r="D256" i="7"/>
  <c r="C256" i="7"/>
  <c r="C255" i="7"/>
  <c r="D255" i="7" s="1"/>
  <c r="C254" i="7"/>
  <c r="D254" i="7" s="1"/>
  <c r="C253" i="7"/>
  <c r="D253" i="7" s="1"/>
  <c r="D252" i="7"/>
  <c r="C252" i="7"/>
  <c r="D251" i="7"/>
  <c r="C251" i="7"/>
  <c r="C250" i="7"/>
  <c r="D250" i="7" s="1"/>
  <c r="C249" i="7"/>
  <c r="D249" i="7" s="1"/>
  <c r="D248" i="7"/>
  <c r="C248" i="7"/>
  <c r="D247" i="7"/>
  <c r="C247" i="7"/>
  <c r="C246" i="7"/>
  <c r="D246" i="7" s="1"/>
  <c r="D245" i="7"/>
  <c r="C245" i="7"/>
  <c r="D244" i="7"/>
  <c r="C244" i="7"/>
  <c r="D243" i="7"/>
  <c r="C243" i="7"/>
  <c r="C242" i="7"/>
  <c r="D242" i="7" s="1"/>
  <c r="D241" i="7"/>
  <c r="C241" i="7"/>
  <c r="D240" i="7"/>
  <c r="C240" i="7"/>
  <c r="C239" i="7"/>
  <c r="D239" i="7" s="1"/>
  <c r="C238" i="7"/>
  <c r="D238" i="7" s="1"/>
  <c r="C237" i="7"/>
  <c r="D237" i="7" s="1"/>
  <c r="D236" i="7"/>
  <c r="C236" i="7"/>
  <c r="C235" i="7"/>
  <c r="D235" i="7" s="1"/>
  <c r="C234" i="7"/>
  <c r="D234" i="7" s="1"/>
  <c r="D233" i="7"/>
  <c r="C233" i="7"/>
  <c r="D232" i="7"/>
  <c r="C232" i="7"/>
  <c r="C231" i="7"/>
  <c r="D231" i="7" s="1"/>
  <c r="C230" i="7"/>
  <c r="D230" i="7" s="1"/>
  <c r="C229" i="7"/>
  <c r="D229" i="7" s="1"/>
  <c r="D228" i="7"/>
  <c r="C228" i="7"/>
  <c r="D227" i="7"/>
  <c r="C227" i="7"/>
  <c r="C226" i="7"/>
  <c r="D226" i="7" s="1"/>
  <c r="C225" i="7"/>
  <c r="D225" i="7" s="1"/>
  <c r="D224" i="7"/>
  <c r="C224" i="7"/>
  <c r="C223" i="7"/>
  <c r="D223" i="7" s="1"/>
  <c r="C222" i="7"/>
  <c r="D222" i="7" s="1"/>
  <c r="D221" i="7"/>
  <c r="C221" i="7"/>
  <c r="D220" i="7"/>
  <c r="C220" i="7"/>
  <c r="D219" i="7"/>
  <c r="C219" i="7"/>
  <c r="C218" i="7"/>
  <c r="D218" i="7" s="1"/>
  <c r="C217" i="7"/>
  <c r="D217" i="7" s="1"/>
  <c r="D216" i="7"/>
  <c r="C216" i="7"/>
  <c r="C215" i="7"/>
  <c r="D215" i="7" s="1"/>
  <c r="C214" i="7"/>
  <c r="D214" i="7" s="1"/>
  <c r="D213" i="7"/>
  <c r="C213" i="7"/>
  <c r="D212" i="7"/>
  <c r="C212" i="7"/>
  <c r="C211" i="7"/>
  <c r="D211" i="7" s="1"/>
  <c r="C210" i="7"/>
  <c r="D210" i="7" s="1"/>
  <c r="D209" i="7"/>
  <c r="C209" i="7"/>
  <c r="D208" i="7"/>
  <c r="C208" i="7"/>
  <c r="D207" i="7"/>
  <c r="C207" i="7"/>
  <c r="C206" i="7"/>
  <c r="D206" i="7" s="1"/>
  <c r="D205" i="7"/>
  <c r="C205" i="7"/>
  <c r="D204" i="7"/>
  <c r="C204" i="7"/>
  <c r="C203" i="7"/>
  <c r="D203" i="7" s="1"/>
  <c r="C202" i="7"/>
  <c r="D202" i="7" s="1"/>
  <c r="C201" i="7"/>
  <c r="D201" i="7" s="1"/>
  <c r="D200" i="7"/>
  <c r="C200" i="7"/>
  <c r="C199" i="7"/>
  <c r="D199" i="7" s="1"/>
  <c r="C198" i="7"/>
  <c r="D198" i="7" s="1"/>
  <c r="D197" i="7"/>
  <c r="C197" i="7"/>
  <c r="D196" i="7"/>
  <c r="C196" i="7"/>
  <c r="D195" i="7"/>
  <c r="C195" i="7"/>
  <c r="C194" i="7"/>
  <c r="D194" i="7" s="1"/>
  <c r="C193" i="7"/>
  <c r="D193" i="7" s="1"/>
  <c r="D192" i="7"/>
  <c r="C192" i="7"/>
  <c r="C191" i="7"/>
  <c r="D191" i="7" s="1"/>
  <c r="C190" i="7"/>
  <c r="D190" i="7" s="1"/>
  <c r="D189" i="7"/>
  <c r="C189" i="7"/>
  <c r="D188" i="7"/>
  <c r="C188" i="7"/>
  <c r="C187" i="7"/>
  <c r="D187" i="7" s="1"/>
  <c r="C186" i="7"/>
  <c r="D186" i="7" s="1"/>
  <c r="C185" i="7"/>
  <c r="D185" i="7" s="1"/>
  <c r="D184" i="7"/>
  <c r="C184" i="7"/>
  <c r="D183" i="7"/>
  <c r="C183" i="7"/>
  <c r="C182" i="7"/>
  <c r="D182" i="7" s="1"/>
  <c r="D181" i="7"/>
  <c r="C181" i="7"/>
  <c r="D180" i="7"/>
  <c r="C180" i="7"/>
  <c r="C179" i="7"/>
  <c r="D179" i="7" s="1"/>
  <c r="C178" i="7"/>
  <c r="D178" i="7" s="1"/>
  <c r="C177" i="7"/>
  <c r="D177" i="7" s="1"/>
  <c r="D176" i="7"/>
  <c r="C176" i="7"/>
  <c r="D175" i="7"/>
  <c r="C175" i="7"/>
  <c r="C174" i="7"/>
  <c r="D174" i="7" s="1"/>
  <c r="C173" i="7"/>
  <c r="D173" i="7" s="1"/>
  <c r="D172" i="7"/>
  <c r="C172" i="7"/>
  <c r="C171" i="7"/>
  <c r="D171" i="7" s="1"/>
  <c r="C170" i="7"/>
  <c r="D170" i="7" s="1"/>
  <c r="D169" i="7"/>
  <c r="C169" i="7"/>
  <c r="D168" i="7"/>
  <c r="C168" i="7"/>
  <c r="C167" i="7"/>
  <c r="D167" i="7" s="1"/>
  <c r="C166" i="7"/>
  <c r="D166" i="7" s="1"/>
  <c r="D165" i="7"/>
  <c r="C165" i="7"/>
  <c r="D164" i="7"/>
  <c r="C164" i="7"/>
  <c r="D163" i="7"/>
  <c r="C163" i="7"/>
  <c r="C162" i="7"/>
  <c r="D162" i="7" s="1"/>
  <c r="C161" i="7"/>
  <c r="D161" i="7" s="1"/>
  <c r="D160" i="7"/>
  <c r="C160" i="7"/>
  <c r="C159" i="7"/>
  <c r="D159" i="7" s="1"/>
  <c r="C158" i="7"/>
  <c r="D158" i="7" s="1"/>
  <c r="D157" i="7"/>
  <c r="C157" i="7"/>
  <c r="D156" i="7"/>
  <c r="C156" i="7"/>
  <c r="D155" i="7"/>
  <c r="C155" i="7"/>
  <c r="C154" i="7"/>
  <c r="D154" i="7" s="1"/>
  <c r="C153" i="7"/>
  <c r="D153" i="7" s="1"/>
  <c r="D152" i="7"/>
  <c r="C152" i="7"/>
  <c r="D151" i="7"/>
  <c r="C151" i="7"/>
  <c r="C150" i="7"/>
  <c r="D150" i="7" s="1"/>
  <c r="D149" i="7"/>
  <c r="C149" i="7"/>
  <c r="D148" i="7"/>
  <c r="C148" i="7"/>
  <c r="C147" i="7"/>
  <c r="D147" i="7" s="1"/>
  <c r="C146" i="7"/>
  <c r="D146" i="7" s="1"/>
  <c r="D145" i="7"/>
  <c r="C145" i="7"/>
  <c r="D144" i="7"/>
  <c r="C144" i="7"/>
  <c r="D143" i="7"/>
  <c r="C143" i="7"/>
  <c r="C142" i="7"/>
  <c r="D142" i="7" s="1"/>
  <c r="C141" i="7"/>
  <c r="D141" i="7" s="1"/>
  <c r="D140" i="7"/>
  <c r="C140" i="7"/>
  <c r="D139" i="7"/>
  <c r="C139" i="7"/>
  <c r="C138" i="7"/>
  <c r="D138" i="7" s="1"/>
  <c r="D137" i="7"/>
  <c r="C137" i="7"/>
  <c r="D136" i="7"/>
  <c r="C136" i="7"/>
  <c r="C135" i="7"/>
  <c r="D135" i="7" s="1"/>
  <c r="C134" i="7"/>
  <c r="D134" i="7" s="1"/>
  <c r="D133" i="7"/>
  <c r="C133" i="7"/>
  <c r="D132" i="7"/>
  <c r="C132" i="7"/>
  <c r="D131" i="7"/>
  <c r="C131" i="7"/>
  <c r="C130" i="7"/>
  <c r="D130" i="7" s="1"/>
  <c r="D129" i="7"/>
  <c r="C129" i="7"/>
  <c r="D128" i="7"/>
  <c r="C128" i="7"/>
  <c r="C127" i="7"/>
  <c r="D127" i="7" s="1"/>
  <c r="C126" i="7"/>
  <c r="D126" i="7" s="1"/>
  <c r="C125" i="7"/>
  <c r="D125" i="7" s="1"/>
  <c r="D124" i="7"/>
  <c r="C124" i="7"/>
  <c r="D123" i="7"/>
  <c r="C123" i="7"/>
  <c r="C122" i="7"/>
  <c r="D122" i="7" s="1"/>
  <c r="C121" i="7"/>
  <c r="D121" i="7" s="1"/>
  <c r="D120" i="7"/>
  <c r="C120" i="7"/>
  <c r="D119" i="7"/>
  <c r="C119" i="7"/>
  <c r="C118" i="7"/>
  <c r="D118" i="7" s="1"/>
  <c r="D117" i="7"/>
  <c r="C117" i="7"/>
  <c r="D116" i="7"/>
  <c r="C116" i="7"/>
  <c r="C115" i="7"/>
  <c r="D115" i="7" s="1"/>
  <c r="C114" i="7"/>
  <c r="D114" i="7" s="1"/>
  <c r="D113" i="7"/>
  <c r="C113" i="7"/>
  <c r="D112" i="7"/>
  <c r="C112" i="7"/>
  <c r="C111" i="7"/>
  <c r="D111" i="7" s="1"/>
  <c r="C110" i="7"/>
  <c r="D110" i="7" s="1"/>
  <c r="C109" i="7"/>
  <c r="D109" i="7" s="1"/>
  <c r="D108" i="7"/>
  <c r="C108" i="7"/>
  <c r="C107" i="7"/>
  <c r="D107" i="7" s="1"/>
  <c r="C106" i="7"/>
  <c r="D106" i="7" s="1"/>
  <c r="D105" i="7"/>
  <c r="C105" i="7"/>
  <c r="D104" i="7"/>
  <c r="C104" i="7"/>
  <c r="C103" i="7"/>
  <c r="D103" i="7" s="1"/>
  <c r="C102" i="7"/>
  <c r="D102" i="7" s="1"/>
  <c r="C101" i="7"/>
  <c r="D101" i="7" s="1"/>
  <c r="D100" i="7"/>
  <c r="C100" i="7"/>
  <c r="D99" i="7"/>
  <c r="C99" i="7"/>
  <c r="C98" i="7"/>
  <c r="D98" i="7" s="1"/>
  <c r="C97" i="7"/>
  <c r="D97" i="7" s="1"/>
  <c r="D96" i="7"/>
  <c r="C96" i="7"/>
  <c r="C95" i="7"/>
  <c r="D95" i="7" s="1"/>
  <c r="C94" i="7"/>
  <c r="D94" i="7" s="1"/>
  <c r="D93" i="7"/>
  <c r="C93" i="7"/>
  <c r="D92" i="7"/>
  <c r="C92" i="7"/>
  <c r="D91" i="7"/>
  <c r="C91" i="7"/>
  <c r="C90" i="7"/>
  <c r="D90" i="7" s="1"/>
  <c r="C89" i="7"/>
  <c r="D89" i="7" s="1"/>
  <c r="D88" i="7"/>
  <c r="C88" i="7"/>
  <c r="C87" i="7"/>
  <c r="D87" i="7" s="1"/>
  <c r="C86" i="7"/>
  <c r="D86" i="7" s="1"/>
  <c r="D85" i="7"/>
  <c r="C85" i="7"/>
  <c r="D84" i="7"/>
  <c r="C84" i="7"/>
  <c r="C83" i="7"/>
  <c r="D83" i="7" s="1"/>
  <c r="C82" i="7"/>
  <c r="D82" i="7" s="1"/>
  <c r="C81" i="7"/>
  <c r="D81" i="7" s="1"/>
  <c r="D80" i="7"/>
  <c r="C80" i="7"/>
  <c r="C79" i="7"/>
  <c r="D79" i="7" s="1"/>
  <c r="C78" i="7"/>
  <c r="D78" i="7" s="1"/>
  <c r="D77" i="7"/>
  <c r="C77" i="7"/>
  <c r="D76" i="7"/>
  <c r="C76" i="7"/>
  <c r="D75" i="7"/>
  <c r="C75" i="7"/>
  <c r="C74" i="7"/>
  <c r="D74" i="7" s="1"/>
  <c r="D73" i="7"/>
  <c r="C73" i="7"/>
  <c r="C72" i="7"/>
  <c r="D72" i="7" s="1"/>
  <c r="C71" i="7"/>
  <c r="D71" i="7" s="1"/>
  <c r="C70" i="7"/>
  <c r="D70" i="7" s="1"/>
  <c r="D69" i="7"/>
  <c r="C69" i="7"/>
  <c r="C68" i="7"/>
  <c r="D68" i="7" s="1"/>
  <c r="D67" i="7"/>
  <c r="C67" i="7"/>
  <c r="D66" i="7"/>
  <c r="C66" i="7"/>
  <c r="C65" i="7"/>
  <c r="D65" i="7" s="1"/>
  <c r="C64" i="7"/>
  <c r="D64" i="7" s="1"/>
  <c r="C63" i="7"/>
  <c r="D63" i="7" s="1"/>
  <c r="D62" i="7"/>
  <c r="C62" i="7"/>
  <c r="D61" i="7"/>
  <c r="C61" i="7"/>
  <c r="C60" i="7"/>
  <c r="D60" i="7" s="1"/>
  <c r="D59" i="7"/>
  <c r="C59" i="7"/>
  <c r="D58" i="7"/>
  <c r="C58" i="7"/>
  <c r="C57" i="7"/>
  <c r="D57" i="7" s="1"/>
  <c r="C56" i="7"/>
  <c r="D56" i="7" s="1"/>
  <c r="C55" i="7"/>
  <c r="D55" i="7" s="1"/>
  <c r="D54" i="7"/>
  <c r="C54" i="7"/>
  <c r="C53" i="7"/>
  <c r="D53" i="7" s="1"/>
  <c r="C52" i="7"/>
  <c r="D52" i="7" s="1"/>
  <c r="D51" i="7"/>
  <c r="C51" i="7"/>
  <c r="D50" i="7"/>
  <c r="C50" i="7"/>
  <c r="D49" i="7"/>
  <c r="C49" i="7"/>
  <c r="C48" i="7"/>
  <c r="D48" i="7" s="1"/>
  <c r="C47" i="7"/>
  <c r="D47" i="7" s="1"/>
  <c r="C46" i="7"/>
  <c r="D46" i="7" s="1"/>
  <c r="C45" i="7"/>
  <c r="D45" i="7" s="1"/>
  <c r="C44" i="7"/>
  <c r="D44" i="7" s="1"/>
  <c r="D43" i="7"/>
  <c r="C43" i="7"/>
  <c r="D42" i="7"/>
  <c r="C42" i="7"/>
  <c r="C41" i="7"/>
  <c r="D41" i="7" s="1"/>
  <c r="C40" i="7"/>
  <c r="D40" i="7" s="1"/>
  <c r="C39" i="7"/>
  <c r="D39" i="7" s="1"/>
  <c r="C38" i="7"/>
  <c r="D38" i="7" s="1"/>
  <c r="D37" i="7"/>
  <c r="C37" i="7"/>
  <c r="C36" i="7"/>
  <c r="D36" i="7" s="1"/>
  <c r="D35" i="7"/>
  <c r="C35" i="7"/>
  <c r="D34" i="7"/>
  <c r="C34" i="7"/>
  <c r="C33" i="7"/>
  <c r="C32" i="7"/>
  <c r="D32" i="7" s="1"/>
  <c r="C31" i="7"/>
  <c r="D31" i="7" s="1"/>
  <c r="D30" i="7"/>
  <c r="C30" i="7"/>
  <c r="D29" i="7"/>
  <c r="C29" i="7"/>
  <c r="C28" i="7"/>
  <c r="D28" i="7" s="1"/>
  <c r="D27" i="7"/>
  <c r="C27" i="7"/>
  <c r="D26" i="7"/>
  <c r="C26" i="7"/>
  <c r="C25" i="7"/>
  <c r="D25" i="7" s="1"/>
  <c r="C24" i="7"/>
  <c r="D24" i="7" s="1"/>
  <c r="C23" i="7"/>
  <c r="D23" i="7" s="1"/>
  <c r="D22" i="7"/>
  <c r="C22" i="7"/>
  <c r="C21" i="7"/>
  <c r="D21" i="7" s="1"/>
  <c r="C20" i="7"/>
  <c r="D20" i="7" s="1"/>
  <c r="D19" i="7"/>
  <c r="C19" i="7"/>
  <c r="D18" i="7"/>
  <c r="C18" i="7"/>
  <c r="D17" i="7"/>
  <c r="C17" i="7"/>
  <c r="C16" i="7"/>
  <c r="D16" i="7" s="1"/>
  <c r="C15" i="7"/>
  <c r="D15" i="7" s="1"/>
  <c r="C14" i="7"/>
  <c r="D14" i="7" s="1"/>
  <c r="C13" i="7"/>
  <c r="D13" i="7" s="1"/>
  <c r="C12" i="7"/>
  <c r="D12" i="7" s="1"/>
  <c r="D11" i="7"/>
  <c r="C11" i="7"/>
  <c r="D10" i="7"/>
  <c r="C10" i="7"/>
  <c r="C9" i="7"/>
  <c r="D9" i="7" s="1"/>
  <c r="C8" i="7"/>
  <c r="D8" i="7" s="1"/>
  <c r="C7" i="7"/>
  <c r="D7" i="7" s="1"/>
  <c r="C6" i="7"/>
  <c r="D5" i="7"/>
  <c r="C5" i="7"/>
  <c r="C4" i="7"/>
  <c r="D3" i="7"/>
  <c r="F3" i="7" s="1"/>
  <c r="C3" i="7"/>
  <c r="C72" i="5"/>
  <c r="C71" i="5"/>
  <c r="G71" i="5" s="1"/>
  <c r="C70" i="5"/>
  <c r="C69" i="5"/>
  <c r="G69" i="5" s="1"/>
  <c r="C68" i="5"/>
  <c r="G68" i="5" s="1"/>
  <c r="C67" i="5"/>
  <c r="C66" i="5"/>
  <c r="G66" i="5" s="1"/>
  <c r="C65" i="5"/>
  <c r="G65" i="5" s="1"/>
  <c r="C64" i="5"/>
  <c r="C63" i="5"/>
  <c r="G63" i="5" s="1"/>
  <c r="C62" i="5"/>
  <c r="C61" i="5"/>
  <c r="G61" i="5" s="1"/>
  <c r="C60" i="5"/>
  <c r="C59" i="5"/>
  <c r="G59" i="5" s="1"/>
  <c r="C58" i="5"/>
  <c r="G58" i="5" s="1"/>
  <c r="C57" i="5"/>
  <c r="G57" i="5" s="1"/>
  <c r="C56" i="5"/>
  <c r="G56" i="5" s="1"/>
  <c r="C55" i="5"/>
  <c r="G55" i="5" s="1"/>
  <c r="C54" i="5"/>
  <c r="C53" i="5"/>
  <c r="G53" i="5" s="1"/>
  <c r="C52" i="5"/>
  <c r="G52" i="5" s="1"/>
  <c r="C51" i="5"/>
  <c r="G51" i="5" s="1"/>
  <c r="C50" i="5"/>
  <c r="C49" i="5"/>
  <c r="G48" i="5"/>
  <c r="C48" i="5"/>
  <c r="C47" i="5"/>
  <c r="G47" i="5" s="1"/>
  <c r="C46" i="5"/>
  <c r="G46" i="5" s="1"/>
  <c r="C45" i="5"/>
  <c r="C44" i="5"/>
  <c r="C43" i="5"/>
  <c r="G43" i="5" s="1"/>
  <c r="C42" i="5"/>
  <c r="G42" i="5" s="1"/>
  <c r="C41" i="5"/>
  <c r="C40" i="5"/>
  <c r="G40" i="5" s="1"/>
  <c r="C39" i="5"/>
  <c r="G39" i="5" s="1"/>
  <c r="C38" i="5"/>
  <c r="G38" i="5" s="1"/>
  <c r="C37" i="5"/>
  <c r="G37" i="5" s="1"/>
  <c r="C36" i="5"/>
  <c r="G36" i="5" s="1"/>
  <c r="C35" i="5"/>
  <c r="C34" i="5"/>
  <c r="G34" i="5" s="1"/>
  <c r="C33" i="5"/>
  <c r="G33" i="5" s="1"/>
  <c r="C32" i="5"/>
  <c r="G32" i="5" s="1"/>
  <c r="C31" i="5"/>
  <c r="G31" i="5" s="1"/>
  <c r="C30" i="5"/>
  <c r="G30" i="5" s="1"/>
  <c r="C29" i="5"/>
  <c r="C28" i="5"/>
  <c r="G28" i="5" s="1"/>
  <c r="C27" i="5"/>
  <c r="G27" i="5" s="1"/>
  <c r="C26" i="5"/>
  <c r="G26" i="5" s="1"/>
  <c r="C25" i="5"/>
  <c r="G25" i="5" s="1"/>
  <c r="C24" i="5"/>
  <c r="G24" i="5" s="1"/>
  <c r="C23" i="5"/>
  <c r="G23" i="5" s="1"/>
  <c r="C22" i="5"/>
  <c r="G22" i="5" s="1"/>
  <c r="C21" i="5"/>
  <c r="G21" i="5" s="1"/>
  <c r="C20" i="5"/>
  <c r="G20" i="5" s="1"/>
  <c r="C19" i="5"/>
  <c r="G19" i="5" s="1"/>
  <c r="C18" i="5"/>
  <c r="G18" i="5" s="1"/>
  <c r="C17" i="5"/>
  <c r="G17" i="5" s="1"/>
  <c r="C16" i="5"/>
  <c r="G16" i="5" s="1"/>
  <c r="C15" i="5"/>
  <c r="C14" i="5"/>
  <c r="G14" i="5" s="1"/>
  <c r="C13" i="5"/>
  <c r="G13" i="5" s="1"/>
  <c r="C12" i="5"/>
  <c r="G12" i="5" s="1"/>
  <c r="C11" i="5"/>
  <c r="G11" i="5" s="1"/>
  <c r="C10" i="5"/>
  <c r="C9" i="5"/>
  <c r="G9" i="5" s="1"/>
  <c r="C8" i="5"/>
  <c r="G8" i="5" s="1"/>
  <c r="C7" i="5"/>
  <c r="G7" i="5" s="1"/>
  <c r="C6" i="5"/>
  <c r="C5" i="5"/>
  <c r="C4" i="5"/>
  <c r="G4" i="5" s="1"/>
  <c r="A4" i="5"/>
  <c r="C3" i="5"/>
  <c r="C2" i="5"/>
  <c r="G2" i="5" s="1"/>
  <c r="B2" i="5"/>
  <c r="A76" i="4"/>
  <c r="A73" i="4"/>
  <c r="A69" i="4"/>
  <c r="A64" i="4"/>
  <c r="A62" i="4"/>
  <c r="A56" i="4"/>
  <c r="A52" i="4"/>
  <c r="A48" i="4"/>
  <c r="A45" i="4"/>
  <c r="A40" i="4"/>
  <c r="A36" i="4"/>
  <c r="A31" i="4"/>
  <c r="A25" i="4"/>
  <c r="A24" i="4"/>
  <c r="A21" i="4"/>
  <c r="A20" i="4"/>
  <c r="A18" i="4"/>
  <c r="A17" i="4"/>
  <c r="A16" i="4"/>
  <c r="A9" i="4"/>
  <c r="A8" i="4"/>
  <c r="I6" i="4"/>
  <c r="H6" i="4"/>
  <c r="B6" i="4"/>
  <c r="B3" i="4"/>
  <c r="A72" i="3"/>
  <c r="B72" i="2"/>
  <c r="A72" i="2"/>
  <c r="A72" i="5" s="1"/>
  <c r="A71" i="2"/>
  <c r="A70" i="2"/>
  <c r="A69" i="2"/>
  <c r="A69" i="5" s="1"/>
  <c r="A68" i="2"/>
  <c r="A72" i="4" s="1"/>
  <c r="A67" i="2"/>
  <c r="A66" i="2"/>
  <c r="A65" i="2"/>
  <c r="A65" i="5" s="1"/>
  <c r="A64" i="2"/>
  <c r="A64" i="5" s="1"/>
  <c r="A63" i="2"/>
  <c r="A62" i="2"/>
  <c r="A61" i="2"/>
  <c r="A61" i="5" s="1"/>
  <c r="A60" i="2"/>
  <c r="A60" i="5" s="1"/>
  <c r="A59" i="2"/>
  <c r="A58" i="2"/>
  <c r="A58" i="5" s="1"/>
  <c r="A57" i="2"/>
  <c r="A61" i="4" s="1"/>
  <c r="A56" i="2"/>
  <c r="A55" i="2"/>
  <c r="A54" i="2"/>
  <c r="A53" i="2"/>
  <c r="A53" i="5" s="1"/>
  <c r="A52" i="2"/>
  <c r="A52" i="5" s="1"/>
  <c r="A51" i="2"/>
  <c r="A50" i="2"/>
  <c r="A49" i="2"/>
  <c r="A48" i="2"/>
  <c r="A48" i="5" s="1"/>
  <c r="A47" i="2"/>
  <c r="A46" i="2"/>
  <c r="A45" i="2"/>
  <c r="A44" i="2"/>
  <c r="A44" i="5" s="1"/>
  <c r="A43" i="2"/>
  <c r="A42" i="2"/>
  <c r="A41" i="2"/>
  <c r="A41" i="5" s="1"/>
  <c r="A40" i="2"/>
  <c r="A40" i="5" s="1"/>
  <c r="A39" i="2"/>
  <c r="A39" i="5" s="1"/>
  <c r="A38" i="2"/>
  <c r="A38" i="5" s="1"/>
  <c r="A37" i="2"/>
  <c r="A37" i="5" s="1"/>
  <c r="A36" i="2"/>
  <c r="A36" i="5" s="1"/>
  <c r="A35" i="2"/>
  <c r="A34" i="2"/>
  <c r="A33" i="2"/>
  <c r="A32" i="2"/>
  <c r="A32" i="5" s="1"/>
  <c r="A31" i="2"/>
  <c r="A31" i="5" s="1"/>
  <c r="A30" i="2"/>
  <c r="A29" i="2"/>
  <c r="A28" i="2"/>
  <c r="A32" i="4" s="1"/>
  <c r="A27" i="2"/>
  <c r="A27" i="5" s="1"/>
  <c r="A26" i="2"/>
  <c r="A25" i="2"/>
  <c r="A25" i="5" s="1"/>
  <c r="A24" i="2"/>
  <c r="A24" i="5" s="1"/>
  <c r="A23" i="2"/>
  <c r="A22" i="2"/>
  <c r="A21" i="2"/>
  <c r="A21" i="5" s="1"/>
  <c r="A20" i="2"/>
  <c r="A20" i="5" s="1"/>
  <c r="A19" i="2"/>
  <c r="A19" i="5" s="1"/>
  <c r="A18" i="2"/>
  <c r="A17" i="2"/>
  <c r="A17" i="5" s="1"/>
  <c r="A16" i="2"/>
  <c r="A16" i="5" s="1"/>
  <c r="A15" i="2"/>
  <c r="A14" i="2"/>
  <c r="A14" i="5" s="1"/>
  <c r="A13" i="2"/>
  <c r="A13" i="5" s="1"/>
  <c r="A12" i="2"/>
  <c r="A12" i="5" s="1"/>
  <c r="A11" i="2"/>
  <c r="A10" i="2"/>
  <c r="A9" i="2"/>
  <c r="A9" i="5" s="1"/>
  <c r="A8" i="2"/>
  <c r="A8" i="5" s="1"/>
  <c r="A7" i="2"/>
  <c r="A6" i="2"/>
  <c r="A5" i="2"/>
  <c r="A5" i="5" s="1"/>
  <c r="A4" i="2"/>
  <c r="A3" i="2"/>
  <c r="B2" i="2"/>
  <c r="A2" i="2"/>
  <c r="A6" i="4" s="1"/>
  <c r="D2" i="5" l="1"/>
  <c r="E2" i="5" s="1"/>
  <c r="A15" i="4"/>
  <c r="A11" i="5"/>
  <c r="A34" i="4"/>
  <c r="A30" i="5"/>
  <c r="A43" i="5"/>
  <c r="A47" i="4"/>
  <c r="A62" i="5"/>
  <c r="A66" i="4"/>
  <c r="G44" i="5"/>
  <c r="G6" i="4"/>
  <c r="F6" i="4"/>
  <c r="A7" i="5"/>
  <c r="A11" i="4"/>
  <c r="A26" i="5"/>
  <c r="A30" i="4"/>
  <c r="A71" i="5"/>
  <c r="A75" i="4"/>
  <c r="A50" i="4"/>
  <c r="A46" i="5"/>
  <c r="A59" i="5"/>
  <c r="A63" i="4"/>
  <c r="A23" i="4"/>
  <c r="A42" i="4"/>
  <c r="A18" i="5"/>
  <c r="A22" i="4"/>
  <c r="A67" i="4"/>
  <c r="A63" i="5"/>
  <c r="A35" i="4"/>
  <c r="A6" i="5"/>
  <c r="A10" i="4"/>
  <c r="C5" i="6"/>
  <c r="C4" i="6"/>
  <c r="C6" i="6"/>
  <c r="C9" i="6" s="1"/>
  <c r="C2" i="6"/>
  <c r="C10" i="6" s="1"/>
  <c r="A2" i="5"/>
  <c r="C3" i="6"/>
  <c r="A15" i="5"/>
  <c r="A19" i="4"/>
  <c r="A34" i="5"/>
  <c r="A38" i="4"/>
  <c r="A47" i="5"/>
  <c r="A51" i="4"/>
  <c r="A70" i="4"/>
  <c r="A66" i="5"/>
  <c r="A43" i="4"/>
  <c r="F2" i="5"/>
  <c r="A3" i="5"/>
  <c r="A7" i="4"/>
  <c r="A22" i="5"/>
  <c r="A26" i="4"/>
  <c r="A35" i="5"/>
  <c r="A39" i="4"/>
  <c r="A54" i="5"/>
  <c r="A58" i="4"/>
  <c r="A67" i="5"/>
  <c r="A71" i="4"/>
  <c r="G15" i="5"/>
  <c r="G29" i="5"/>
  <c r="A50" i="5"/>
  <c r="A54" i="4"/>
  <c r="A51" i="5"/>
  <c r="A55" i="4"/>
  <c r="A70" i="5"/>
  <c r="A74" i="4"/>
  <c r="A10" i="5"/>
  <c r="A14" i="4"/>
  <c r="A23" i="5"/>
  <c r="A27" i="4"/>
  <c r="A42" i="5"/>
  <c r="A46" i="4"/>
  <c r="A55" i="5"/>
  <c r="A59" i="4"/>
  <c r="G3" i="5"/>
  <c r="G10" i="5"/>
  <c r="F6" i="7"/>
  <c r="B5" i="2" s="1"/>
  <c r="A56" i="5"/>
  <c r="A60" i="4"/>
  <c r="A41" i="4"/>
  <c r="A68" i="4"/>
  <c r="G6" i="5"/>
  <c r="G41" i="5"/>
  <c r="B72" i="5"/>
  <c r="D72" i="5" s="1"/>
  <c r="B76" i="4"/>
  <c r="A12" i="4"/>
  <c r="A13" i="4"/>
  <c r="A28" i="4"/>
  <c r="A29" i="4"/>
  <c r="A44" i="4"/>
  <c r="A65" i="4"/>
  <c r="A28" i="5"/>
  <c r="G35" i="5"/>
  <c r="A57" i="5"/>
  <c r="A68" i="5"/>
  <c r="J6" i="4"/>
  <c r="A29" i="5"/>
  <c r="A33" i="4"/>
  <c r="A33" i="5"/>
  <c r="A37" i="4"/>
  <c r="A45" i="5"/>
  <c r="A49" i="4"/>
  <c r="A49" i="5"/>
  <c r="A53" i="4"/>
  <c r="A57" i="4"/>
  <c r="G49" i="5"/>
  <c r="D33" i="7"/>
  <c r="F38" i="7"/>
  <c r="B37" i="2" s="1"/>
  <c r="G62" i="5"/>
  <c r="F58" i="7"/>
  <c r="B57" i="2" s="1"/>
  <c r="G70" i="5"/>
  <c r="G5" i="5"/>
  <c r="G45" i="5"/>
  <c r="G54" i="5"/>
  <c r="D6" i="7"/>
  <c r="F62" i="7"/>
  <c r="B61" i="2" s="1"/>
  <c r="F50" i="7"/>
  <c r="B49" i="2" s="1"/>
  <c r="F30" i="7"/>
  <c r="B29" i="2" s="1"/>
  <c r="F18" i="7"/>
  <c r="B17" i="2" s="1"/>
  <c r="F59" i="7"/>
  <c r="B58" i="2" s="1"/>
  <c r="F27" i="7"/>
  <c r="B26" i="2" s="1"/>
  <c r="F63" i="7"/>
  <c r="B62" i="2" s="1"/>
  <c r="F31" i="7"/>
  <c r="B30" i="2" s="1"/>
  <c r="G60" i="5"/>
  <c r="G50" i="5"/>
  <c r="G64" i="5"/>
  <c r="F16" i="7"/>
  <c r="B15" i="2" s="1"/>
  <c r="F19" i="7"/>
  <c r="B18" i="2" s="1"/>
  <c r="F24" i="7"/>
  <c r="B23" i="2" s="1"/>
  <c r="F48" i="7"/>
  <c r="B47" i="2" s="1"/>
  <c r="F51" i="7"/>
  <c r="B50" i="2" s="1"/>
  <c r="F56" i="7"/>
  <c r="B55" i="2" s="1"/>
  <c r="F68" i="7"/>
  <c r="B67" i="2" s="1"/>
  <c r="F26" i="7"/>
  <c r="B25" i="2" s="1"/>
  <c r="G67" i="5"/>
  <c r="F65" i="7"/>
  <c r="B64" i="2" s="1"/>
  <c r="F57" i="7"/>
  <c r="B56" i="2" s="1"/>
  <c r="F49" i="7"/>
  <c r="B48" i="2" s="1"/>
  <c r="F41" i="7"/>
  <c r="B40" i="2" s="1"/>
  <c r="F33" i="7"/>
  <c r="B32" i="2" s="1"/>
  <c r="F25" i="7"/>
  <c r="B24" i="2" s="1"/>
  <c r="F17" i="7"/>
  <c r="B16" i="2" s="1"/>
  <c r="F9" i="7"/>
  <c r="B8" i="2" s="1"/>
  <c r="D4" i="7"/>
  <c r="F71" i="7"/>
  <c r="B70" i="2" s="1"/>
  <c r="F67" i="7"/>
  <c r="B66" i="2" s="1"/>
  <c r="F64" i="7"/>
  <c r="B63" i="2" s="1"/>
  <c r="F46" i="7"/>
  <c r="B45" i="2" s="1"/>
  <c r="F39" i="7"/>
  <c r="B38" i="2" s="1"/>
  <c r="F35" i="7"/>
  <c r="B34" i="2" s="1"/>
  <c r="F32" i="7"/>
  <c r="B31" i="2" s="1"/>
  <c r="F14" i="7"/>
  <c r="B13" i="2" s="1"/>
  <c r="F7" i="7"/>
  <c r="B6" i="2" s="1"/>
  <c r="F42" i="7"/>
  <c r="B41" i="2" s="1"/>
  <c r="F10" i="7"/>
  <c r="B9" i="2" s="1"/>
  <c r="F70" i="7"/>
  <c r="B69" i="2" s="1"/>
  <c r="F66" i="7"/>
  <c r="B65" i="2" s="1"/>
  <c r="F34" i="7"/>
  <c r="B33" i="2" s="1"/>
  <c r="F72" i="7"/>
  <c r="B71" i="2" s="1"/>
  <c r="F54" i="7"/>
  <c r="B53" i="2" s="1"/>
  <c r="F47" i="7"/>
  <c r="B46" i="2" s="1"/>
  <c r="F43" i="7"/>
  <c r="B42" i="2" s="1"/>
  <c r="F40" i="7"/>
  <c r="B39" i="2" s="1"/>
  <c r="F22" i="7"/>
  <c r="B21" i="2" s="1"/>
  <c r="F15" i="7"/>
  <c r="B14" i="2" s="1"/>
  <c r="F11" i="7"/>
  <c r="B10" i="2" s="1"/>
  <c r="F8" i="7"/>
  <c r="B7" i="2" s="1"/>
  <c r="F23" i="7"/>
  <c r="B22" i="2" s="1"/>
  <c r="F55" i="7"/>
  <c r="B54" i="2" s="1"/>
  <c r="D2" i="9" a="1"/>
  <c r="F5" i="7"/>
  <c r="B4" i="2" s="1"/>
  <c r="F13" i="7"/>
  <c r="B12" i="2" s="1"/>
  <c r="F21" i="7"/>
  <c r="B20" i="2" s="1"/>
  <c r="F29" i="7"/>
  <c r="B28" i="2" s="1"/>
  <c r="F37" i="7"/>
  <c r="B36" i="2" s="1"/>
  <c r="F45" i="7"/>
  <c r="B44" i="2" s="1"/>
  <c r="F53" i="7"/>
  <c r="B52" i="2" s="1"/>
  <c r="F61" i="7"/>
  <c r="B60" i="2" s="1"/>
  <c r="F69" i="7"/>
  <c r="B68" i="2" s="1"/>
  <c r="F4" i="7"/>
  <c r="B3" i="2" s="1"/>
  <c r="F12" i="7"/>
  <c r="B11" i="2" s="1"/>
  <c r="F20" i="7"/>
  <c r="B19" i="2" s="1"/>
  <c r="F28" i="7"/>
  <c r="B27" i="2" s="1"/>
  <c r="F36" i="7"/>
  <c r="B35" i="2" s="1"/>
  <c r="F44" i="7"/>
  <c r="B43" i="2" s="1"/>
  <c r="F52" i="7"/>
  <c r="B51" i="2" s="1"/>
  <c r="F60" i="7"/>
  <c r="B59" i="2" s="1"/>
  <c r="D69" i="9" l="1"/>
  <c r="D61" i="9"/>
  <c r="D53" i="9"/>
  <c r="D45" i="9"/>
  <c r="D37" i="9"/>
  <c r="D29" i="9"/>
  <c r="D21" i="9"/>
  <c r="D13" i="9"/>
  <c r="D5" i="9"/>
  <c r="D66" i="9"/>
  <c r="D57" i="9"/>
  <c r="D48" i="9"/>
  <c r="D39" i="9"/>
  <c r="D30" i="9"/>
  <c r="D20" i="9"/>
  <c r="D11" i="9"/>
  <c r="D65" i="9"/>
  <c r="D56" i="9"/>
  <c r="D47" i="9"/>
  <c r="D38" i="9"/>
  <c r="D28" i="9"/>
  <c r="D19" i="9"/>
  <c r="D10" i="9"/>
  <c r="D2" i="9"/>
  <c r="D71" i="9"/>
  <c r="D59" i="9"/>
  <c r="D46" i="9"/>
  <c r="D34" i="9"/>
  <c r="D23" i="9"/>
  <c r="D9" i="9"/>
  <c r="D70" i="9"/>
  <c r="D58" i="9"/>
  <c r="D44" i="9"/>
  <c r="D33" i="9"/>
  <c r="D22" i="9"/>
  <c r="D8" i="9"/>
  <c r="D68" i="9"/>
  <c r="D55" i="9"/>
  <c r="D43" i="9"/>
  <c r="D32" i="9"/>
  <c r="D18" i="9"/>
  <c r="D7" i="9"/>
  <c r="D63" i="9"/>
  <c r="D51" i="9"/>
  <c r="D40" i="9"/>
  <c r="D26" i="9"/>
  <c r="D15" i="9"/>
  <c r="D3" i="9"/>
  <c r="D60" i="9"/>
  <c r="D35" i="9"/>
  <c r="D12" i="9"/>
  <c r="D54" i="9"/>
  <c r="D31" i="9"/>
  <c r="D6" i="9"/>
  <c r="D52" i="9"/>
  <c r="D27" i="9"/>
  <c r="D4" i="9"/>
  <c r="D64" i="9"/>
  <c r="D24" i="9"/>
  <c r="D62" i="9"/>
  <c r="D17" i="9"/>
  <c r="D50" i="9"/>
  <c r="D16" i="9"/>
  <c r="D49" i="9"/>
  <c r="D14" i="9"/>
  <c r="D42" i="9"/>
  <c r="D72" i="9"/>
  <c r="E72" i="9" s="1" a="1"/>
  <c r="E72" i="9" s="1"/>
  <c r="B72" i="3" s="1"/>
  <c r="D36" i="9"/>
  <c r="D73" i="9"/>
  <c r="D67" i="9"/>
  <c r="D41" i="9"/>
  <c r="D25" i="9"/>
  <c r="B45" i="4"/>
  <c r="C45" i="4"/>
  <c r="B41" i="5"/>
  <c r="D41" i="5" s="1"/>
  <c r="B15" i="5"/>
  <c r="D15" i="5" s="1"/>
  <c r="C19" i="4"/>
  <c r="B19" i="4"/>
  <c r="B44" i="5"/>
  <c r="D44" i="5" s="1"/>
  <c r="B48" i="4"/>
  <c r="C48" i="4"/>
  <c r="B19" i="5"/>
  <c r="D19" i="5" s="1"/>
  <c r="C23" i="4"/>
  <c r="B23" i="4"/>
  <c r="B28" i="5"/>
  <c r="D28" i="5" s="1"/>
  <c r="B32" i="4"/>
  <c r="C32" i="4"/>
  <c r="B14" i="4"/>
  <c r="B10" i="5"/>
  <c r="D10" i="5" s="1"/>
  <c r="C14" i="4"/>
  <c r="B33" i="5"/>
  <c r="D33" i="5" s="1"/>
  <c r="C37" i="4"/>
  <c r="B37" i="4"/>
  <c r="B38" i="4"/>
  <c r="C38" i="4"/>
  <c r="B34" i="5"/>
  <c r="D34" i="5" s="1"/>
  <c r="B16" i="5"/>
  <c r="D16" i="5" s="1"/>
  <c r="C20" i="4"/>
  <c r="B20" i="4"/>
  <c r="B54" i="4"/>
  <c r="B50" i="5"/>
  <c r="D50" i="5" s="1"/>
  <c r="C54" i="4"/>
  <c r="B30" i="5"/>
  <c r="D30" i="5" s="1"/>
  <c r="B34" i="4"/>
  <c r="C34" i="4"/>
  <c r="B62" i="5"/>
  <c r="D62" i="5" s="1"/>
  <c r="C66" i="4"/>
  <c r="B66" i="4"/>
  <c r="B3" i="5"/>
  <c r="D3" i="5" s="1"/>
  <c r="E3" i="5" s="1"/>
  <c r="C7" i="4"/>
  <c r="B7" i="4"/>
  <c r="I7" i="4" s="1"/>
  <c r="J7" i="4" s="1"/>
  <c r="B45" i="5"/>
  <c r="D45" i="5" s="1"/>
  <c r="B49" i="4"/>
  <c r="C49" i="4"/>
  <c r="B36" i="4"/>
  <c r="C36" i="4"/>
  <c r="B32" i="5"/>
  <c r="D32" i="5" s="1"/>
  <c r="B27" i="4"/>
  <c r="B23" i="5"/>
  <c r="D23" i="5" s="1"/>
  <c r="C27" i="4"/>
  <c r="B30" i="4"/>
  <c r="B26" i="5"/>
  <c r="D26" i="5" s="1"/>
  <c r="C30" i="4"/>
  <c r="B57" i="5"/>
  <c r="D57" i="5" s="1"/>
  <c r="C61" i="4"/>
  <c r="B61" i="4"/>
  <c r="B59" i="5"/>
  <c r="D59" i="5" s="1"/>
  <c r="C63" i="4"/>
  <c r="B63" i="4"/>
  <c r="B68" i="5"/>
  <c r="D68" i="5" s="1"/>
  <c r="C72" i="4"/>
  <c r="B72" i="4"/>
  <c r="C8" i="4"/>
  <c r="B8" i="4"/>
  <c r="B4" i="5"/>
  <c r="D4" i="5" s="1"/>
  <c r="B39" i="5"/>
  <c r="D39" i="5" s="1"/>
  <c r="C43" i="4"/>
  <c r="B43" i="4"/>
  <c r="B13" i="4"/>
  <c r="C13" i="4"/>
  <c r="B9" i="5"/>
  <c r="D9" i="5" s="1"/>
  <c r="B63" i="5"/>
  <c r="D63" i="5" s="1"/>
  <c r="B67" i="4"/>
  <c r="C67" i="4"/>
  <c r="B40" i="5"/>
  <c r="D40" i="5" s="1"/>
  <c r="B44" i="4"/>
  <c r="C44" i="4"/>
  <c r="B22" i="4"/>
  <c r="B18" i="5"/>
  <c r="D18" i="5" s="1"/>
  <c r="C22" i="4"/>
  <c r="C62" i="4"/>
  <c r="B62" i="4"/>
  <c r="B58" i="5"/>
  <c r="D58" i="5" s="1"/>
  <c r="C8" i="6"/>
  <c r="B18" i="4"/>
  <c r="B14" i="5"/>
  <c r="D14" i="5" s="1"/>
  <c r="C18" i="4"/>
  <c r="B38" i="5"/>
  <c r="D38" i="5" s="1"/>
  <c r="B42" i="4"/>
  <c r="C42" i="4"/>
  <c r="B69" i="5"/>
  <c r="D69" i="5" s="1"/>
  <c r="B73" i="4"/>
  <c r="C73" i="4"/>
  <c r="B51" i="5"/>
  <c r="D51" i="5" s="1"/>
  <c r="B55" i="4"/>
  <c r="C55" i="4"/>
  <c r="B46" i="4"/>
  <c r="B42" i="5"/>
  <c r="D42" i="5" s="1"/>
  <c r="C46" i="4"/>
  <c r="B21" i="4"/>
  <c r="B17" i="5"/>
  <c r="D17" i="5" s="1"/>
  <c r="C21" i="4"/>
  <c r="B43" i="5"/>
  <c r="D43" i="5" s="1"/>
  <c r="B47" i="4"/>
  <c r="C47" i="4"/>
  <c r="B52" i="5"/>
  <c r="D52" i="5" s="1"/>
  <c r="B56" i="4"/>
  <c r="C56" i="4"/>
  <c r="B54" i="5"/>
  <c r="D54" i="5" s="1"/>
  <c r="C58" i="4"/>
  <c r="B58" i="4"/>
  <c r="B46" i="5"/>
  <c r="D46" i="5" s="1"/>
  <c r="B50" i="4"/>
  <c r="C50" i="4"/>
  <c r="B10" i="4"/>
  <c r="C10" i="4"/>
  <c r="B6" i="5"/>
  <c r="D6" i="5" s="1"/>
  <c r="B70" i="5"/>
  <c r="D70" i="5" s="1"/>
  <c r="C74" i="4"/>
  <c r="C76" i="4"/>
  <c r="B74" i="4"/>
  <c r="B56" i="5"/>
  <c r="D56" i="5" s="1"/>
  <c r="B60" i="4"/>
  <c r="C60" i="4"/>
  <c r="B29" i="4"/>
  <c r="C29" i="4"/>
  <c r="B25" i="5"/>
  <c r="D25" i="5" s="1"/>
  <c r="B29" i="5"/>
  <c r="D29" i="5" s="1"/>
  <c r="C33" i="4"/>
  <c r="B33" i="4"/>
  <c r="B5" i="5"/>
  <c r="D5" i="5" s="1"/>
  <c r="C9" i="4"/>
  <c r="B9" i="4"/>
  <c r="B11" i="5"/>
  <c r="D11" i="5" s="1"/>
  <c r="C15" i="4"/>
  <c r="B15" i="4"/>
  <c r="B20" i="5"/>
  <c r="D20" i="5" s="1"/>
  <c r="C24" i="4"/>
  <c r="B24" i="4"/>
  <c r="B28" i="4"/>
  <c r="B24" i="5"/>
  <c r="D24" i="5" s="1"/>
  <c r="C28" i="4"/>
  <c r="B12" i="5"/>
  <c r="D12" i="5" s="1"/>
  <c r="C16" i="4"/>
  <c r="B16" i="4"/>
  <c r="B66" i="5"/>
  <c r="D66" i="5" s="1"/>
  <c r="C70" i="4"/>
  <c r="B70" i="4"/>
  <c r="B35" i="5"/>
  <c r="D35" i="5" s="1"/>
  <c r="B39" i="4"/>
  <c r="C39" i="4"/>
  <c r="B26" i="4"/>
  <c r="B22" i="5"/>
  <c r="D22" i="5" s="1"/>
  <c r="C26" i="4"/>
  <c r="B17" i="4"/>
  <c r="C17" i="4"/>
  <c r="B13" i="5"/>
  <c r="D13" i="5" s="1"/>
  <c r="B64" i="5"/>
  <c r="C68" i="4"/>
  <c r="B68" i="4"/>
  <c r="B71" i="4"/>
  <c r="B67" i="5"/>
  <c r="D67" i="5" s="1"/>
  <c r="C71" i="4"/>
  <c r="B49" i="5"/>
  <c r="D49" i="5" s="1"/>
  <c r="C53" i="4"/>
  <c r="B53" i="4"/>
  <c r="C41" i="4"/>
  <c r="B41" i="4"/>
  <c r="B37" i="5"/>
  <c r="D37" i="5" s="1"/>
  <c r="B65" i="5"/>
  <c r="D65" i="5" s="1"/>
  <c r="C69" i="4"/>
  <c r="B69" i="4"/>
  <c r="B47" i="5"/>
  <c r="D47" i="5" s="1"/>
  <c r="B51" i="4"/>
  <c r="C51" i="4"/>
  <c r="B21" i="5"/>
  <c r="D21" i="5" s="1"/>
  <c r="B25" i="4"/>
  <c r="C25" i="4"/>
  <c r="B60" i="5"/>
  <c r="D60" i="5" s="1"/>
  <c r="C64" i="4"/>
  <c r="B64" i="4"/>
  <c r="B48" i="5"/>
  <c r="D48" i="5" s="1"/>
  <c r="B52" i="4"/>
  <c r="C52" i="4"/>
  <c r="B53" i="5"/>
  <c r="D53" i="5" s="1"/>
  <c r="C57" i="4"/>
  <c r="B57" i="4"/>
  <c r="B27" i="5"/>
  <c r="D27" i="5" s="1"/>
  <c r="B31" i="4"/>
  <c r="C31" i="4"/>
  <c r="B40" i="4"/>
  <c r="C40" i="4"/>
  <c r="B36" i="5"/>
  <c r="D36" i="5" s="1"/>
  <c r="B7" i="5"/>
  <c r="D7" i="5" s="1"/>
  <c r="C11" i="4"/>
  <c r="B11" i="4"/>
  <c r="B71" i="5"/>
  <c r="D71" i="5" s="1"/>
  <c r="C75" i="4"/>
  <c r="B75" i="4"/>
  <c r="B35" i="4"/>
  <c r="B31" i="5"/>
  <c r="D31" i="5" s="1"/>
  <c r="C35" i="4"/>
  <c r="B12" i="4"/>
  <c r="B8" i="5"/>
  <c r="D8" i="5" s="1"/>
  <c r="C12" i="4"/>
  <c r="C59" i="4"/>
  <c r="B55" i="5"/>
  <c r="D55" i="5" s="1"/>
  <c r="B59" i="4"/>
  <c r="B61" i="5"/>
  <c r="D61" i="5" s="1"/>
  <c r="B65" i="4"/>
  <c r="C65" i="4"/>
  <c r="E11" i="9" l="1" a="1"/>
  <c r="E11" i="9" s="1"/>
  <c r="B11" i="3" s="1"/>
  <c r="A11" i="3"/>
  <c r="E41" i="9" a="1"/>
  <c r="E41" i="9" s="1"/>
  <c r="B41" i="3" s="1"/>
  <c r="A41" i="3"/>
  <c r="E16" i="9" a="1"/>
  <c r="E16" i="9" s="1"/>
  <c r="B16" i="3" s="1"/>
  <c r="A16" i="3"/>
  <c r="E52" i="9" a="1"/>
  <c r="E52" i="9" s="1"/>
  <c r="B52" i="3" s="1"/>
  <c r="A52" i="3"/>
  <c r="E15" i="9" a="1"/>
  <c r="E15" i="9" s="1"/>
  <c r="B15" i="3" s="1"/>
  <c r="A15" i="3"/>
  <c r="E43" i="9" a="1"/>
  <c r="E43" i="9" s="1"/>
  <c r="B43" i="3" s="1"/>
  <c r="A43" i="3"/>
  <c r="E70" i="9" a="1"/>
  <c r="E70" i="9" s="1"/>
  <c r="B70" i="3" s="1"/>
  <c r="A70" i="3"/>
  <c r="E10" i="9" a="1"/>
  <c r="E10" i="9" s="1"/>
  <c r="B10" i="3" s="1"/>
  <c r="A10" i="3"/>
  <c r="E21" i="9" a="1"/>
  <c r="E21" i="9" s="1"/>
  <c r="B21" i="3" s="1"/>
  <c r="A21" i="3"/>
  <c r="F11" i="4"/>
  <c r="F64" i="4"/>
  <c r="F16" i="4"/>
  <c r="F49" i="4"/>
  <c r="F23" i="4"/>
  <c r="E67" i="9" a="1"/>
  <c r="E67" i="9" s="1"/>
  <c r="B67" i="3" s="1"/>
  <c r="A67" i="3"/>
  <c r="E50" i="9" a="1"/>
  <c r="E50" i="9" s="1"/>
  <c r="B50" i="3" s="1"/>
  <c r="A50" i="3"/>
  <c r="E6" i="9" a="1"/>
  <c r="E6" i="9" s="1"/>
  <c r="B6" i="3" s="1"/>
  <c r="A6" i="3"/>
  <c r="E26" i="9" a="1"/>
  <c r="E26" i="9" s="1"/>
  <c r="B26" i="3" s="1"/>
  <c r="A26" i="3"/>
  <c r="E55" i="9" a="1"/>
  <c r="E55" i="9" s="1"/>
  <c r="B55" i="3" s="1"/>
  <c r="A55" i="3"/>
  <c r="E9" i="9" a="1"/>
  <c r="E9" i="9" s="1"/>
  <c r="B9" i="3" s="1"/>
  <c r="A9" i="3"/>
  <c r="E19" i="9" a="1"/>
  <c r="E19" i="9" s="1"/>
  <c r="B19" i="3" s="1"/>
  <c r="A19" i="3"/>
  <c r="E30" i="9" a="1"/>
  <c r="E30" i="9" s="1"/>
  <c r="B30" i="3" s="1"/>
  <c r="A30" i="3"/>
  <c r="E29" i="9" a="1"/>
  <c r="E29" i="9" s="1"/>
  <c r="B29" i="3" s="1"/>
  <c r="A29" i="3"/>
  <c r="F35" i="4"/>
  <c r="F57" i="4"/>
  <c r="F41" i="4"/>
  <c r="F68" i="4"/>
  <c r="F39" i="4"/>
  <c r="F55" i="4"/>
  <c r="F43" i="4"/>
  <c r="F20" i="4"/>
  <c r="F14" i="4"/>
  <c r="F19" i="4"/>
  <c r="E17" i="9" a="1"/>
  <c r="E17" i="9" s="1"/>
  <c r="B17" i="3" s="1"/>
  <c r="A17" i="3"/>
  <c r="E31" i="9" a="1"/>
  <c r="E31" i="9" s="1"/>
  <c r="B31" i="3" s="1"/>
  <c r="A31" i="3"/>
  <c r="E40" i="9" a="1"/>
  <c r="E40" i="9" s="1"/>
  <c r="B40" i="3" s="1"/>
  <c r="A40" i="3"/>
  <c r="E68" i="9" a="1"/>
  <c r="E68" i="9" s="1"/>
  <c r="B68" i="3" s="1"/>
  <c r="A68" i="3"/>
  <c r="E23" i="9" a="1"/>
  <c r="E23" i="9" s="1"/>
  <c r="B23" i="3" s="1"/>
  <c r="A23" i="3"/>
  <c r="E28" i="9" a="1"/>
  <c r="E28" i="9" s="1"/>
  <c r="B28" i="3" s="1"/>
  <c r="A28" i="3"/>
  <c r="E39" i="9" a="1"/>
  <c r="E39" i="9" s="1"/>
  <c r="B39" i="3" s="1"/>
  <c r="A39" i="3"/>
  <c r="E37" i="9" a="1"/>
  <c r="E37" i="9" s="1"/>
  <c r="B37" i="3" s="1"/>
  <c r="A37" i="3"/>
  <c r="F46" i="4"/>
  <c r="F13" i="4"/>
  <c r="E2" i="9" a="1"/>
  <c r="E2" i="9" s="1"/>
  <c r="B2" i="3" s="1"/>
  <c r="A2" i="3"/>
  <c r="F24" i="4"/>
  <c r="F42" i="4"/>
  <c r="F72" i="4"/>
  <c r="F37" i="4"/>
  <c r="E20" i="9" a="1"/>
  <c r="E20" i="9" s="1"/>
  <c r="B20" i="3" s="1"/>
  <c r="A20" i="3"/>
  <c r="F65" i="4"/>
  <c r="F51" i="4"/>
  <c r="F29" i="4"/>
  <c r="F58" i="4"/>
  <c r="F25" i="4"/>
  <c r="J3" i="5"/>
  <c r="D64" i="5"/>
  <c r="F15" i="4"/>
  <c r="F60" i="4"/>
  <c r="F10" i="4"/>
  <c r="F56" i="4"/>
  <c r="F18" i="4"/>
  <c r="F67" i="4"/>
  <c r="F63" i="4"/>
  <c r="F27" i="4"/>
  <c r="F66" i="4"/>
  <c r="F34" i="4"/>
  <c r="F48" i="4"/>
  <c r="E36" i="9" a="1"/>
  <c r="E36" i="9" s="1"/>
  <c r="B36" i="3" s="1"/>
  <c r="A36" i="3"/>
  <c r="E62" i="9" a="1"/>
  <c r="E62" i="9" s="1"/>
  <c r="B62" i="3" s="1"/>
  <c r="A62" i="3"/>
  <c r="E54" i="9" a="1"/>
  <c r="E54" i="9" s="1"/>
  <c r="B54" i="3" s="1"/>
  <c r="A54" i="3"/>
  <c r="E51" i="9" a="1"/>
  <c r="E51" i="9" s="1"/>
  <c r="B51" i="3" s="1"/>
  <c r="A51" i="3"/>
  <c r="E8" i="9" a="1"/>
  <c r="E8" i="9" s="1"/>
  <c r="B8" i="3" s="1"/>
  <c r="A8" i="3"/>
  <c r="E34" i="9" a="1"/>
  <c r="E34" i="9" s="1"/>
  <c r="B34" i="3" s="1"/>
  <c r="A34" i="3"/>
  <c r="E38" i="9" a="1"/>
  <c r="E38" i="9" s="1"/>
  <c r="B38" i="3" s="1"/>
  <c r="A38" i="3"/>
  <c r="E48" i="9" a="1"/>
  <c r="E48" i="9" s="1"/>
  <c r="B48" i="3" s="1"/>
  <c r="A48" i="3"/>
  <c r="E45" i="9" a="1"/>
  <c r="E45" i="9" s="1"/>
  <c r="B45" i="3" s="1"/>
  <c r="A45" i="3"/>
  <c r="E24" i="9" a="1"/>
  <c r="E24" i="9" s="1"/>
  <c r="B24" i="3" s="1"/>
  <c r="A24" i="3"/>
  <c r="E12" i="9" a="1"/>
  <c r="E12" i="9" s="1"/>
  <c r="B12" i="3" s="1"/>
  <c r="A12" i="3"/>
  <c r="E63" i="9" a="1"/>
  <c r="E63" i="9" s="1"/>
  <c r="B63" i="3" s="1"/>
  <c r="A63" i="3"/>
  <c r="E22" i="9" a="1"/>
  <c r="E22" i="9" s="1"/>
  <c r="B22" i="3" s="1"/>
  <c r="A22" i="3"/>
  <c r="E46" i="9" a="1"/>
  <c r="E46" i="9" s="1"/>
  <c r="B46" i="3" s="1"/>
  <c r="A46" i="3"/>
  <c r="E47" i="9" a="1"/>
  <c r="E47" i="9" s="1"/>
  <c r="B47" i="3" s="1"/>
  <c r="A47" i="3"/>
  <c r="E57" i="9" a="1"/>
  <c r="E57" i="9" s="1"/>
  <c r="B57" i="3" s="1"/>
  <c r="A57" i="3"/>
  <c r="E53" i="9" a="1"/>
  <c r="E53" i="9" s="1"/>
  <c r="B53" i="3" s="1"/>
  <c r="A53" i="3"/>
  <c r="F26" i="4"/>
  <c r="F76" i="4"/>
  <c r="E25" i="9" a="1"/>
  <c r="E25" i="9" s="1"/>
  <c r="B25" i="3" s="1"/>
  <c r="A25" i="3"/>
  <c r="E49" i="9" a="1"/>
  <c r="E49" i="9" s="1"/>
  <c r="B49" i="3" s="1"/>
  <c r="A49" i="3"/>
  <c r="E27" i="9" a="1"/>
  <c r="E27" i="9" s="1"/>
  <c r="B27" i="3" s="1"/>
  <c r="A27" i="3"/>
  <c r="E3" i="9" a="1"/>
  <c r="E3" i="9" s="1"/>
  <c r="B3" i="3" s="1"/>
  <c r="A3" i="3"/>
  <c r="E32" i="9" a="1"/>
  <c r="E32" i="9" s="1"/>
  <c r="B32" i="3" s="1"/>
  <c r="A32" i="3"/>
  <c r="E13" i="9" a="1"/>
  <c r="E13" i="9" s="1"/>
  <c r="B13" i="3" s="1"/>
  <c r="A13" i="3"/>
  <c r="F74" i="4"/>
  <c r="F44" i="4"/>
  <c r="F30" i="4"/>
  <c r="F40" i="4"/>
  <c r="F21" i="4"/>
  <c r="F62" i="4"/>
  <c r="F52" i="4"/>
  <c r="F69" i="4"/>
  <c r="F17" i="4"/>
  <c r="F50" i="4"/>
  <c r="F73" i="4"/>
  <c r="F22" i="4"/>
  <c r="I8" i="4"/>
  <c r="J8" i="4" s="1"/>
  <c r="C39" i="6"/>
  <c r="C37" i="6"/>
  <c r="C11" i="6"/>
  <c r="C38" i="6"/>
  <c r="C13" i="6"/>
  <c r="F7" i="4"/>
  <c r="F38" i="4"/>
  <c r="F32" i="4"/>
  <c r="F45" i="4"/>
  <c r="E42" i="9" a="1"/>
  <c r="E42" i="9" s="1"/>
  <c r="B42" i="3" s="1"/>
  <c r="A42" i="3"/>
  <c r="E64" i="9" a="1"/>
  <c r="E64" i="9" s="1"/>
  <c r="B64" i="3" s="1"/>
  <c r="A64" i="3"/>
  <c r="E35" i="9" a="1"/>
  <c r="E35" i="9" s="1"/>
  <c r="B35" i="3" s="1"/>
  <c r="A35" i="3"/>
  <c r="E7" i="9" a="1"/>
  <c r="E7" i="9" s="1"/>
  <c r="B7" i="3" s="1"/>
  <c r="A7" i="3"/>
  <c r="E33" i="9" a="1"/>
  <c r="E33" i="9" s="1"/>
  <c r="B33" i="3" s="1"/>
  <c r="A33" i="3"/>
  <c r="E59" i="9" a="1"/>
  <c r="E59" i="9" s="1"/>
  <c r="B59" i="3" s="1"/>
  <c r="A59" i="3"/>
  <c r="E56" i="9" a="1"/>
  <c r="E56" i="9" s="1"/>
  <c r="B56" i="3" s="1"/>
  <c r="A56" i="3"/>
  <c r="E66" i="9" a="1"/>
  <c r="E66" i="9" s="1"/>
  <c r="B66" i="3" s="1"/>
  <c r="A66" i="3"/>
  <c r="E61" i="9" a="1"/>
  <c r="E61" i="9" s="1"/>
  <c r="B61" i="3" s="1"/>
  <c r="A61" i="3"/>
  <c r="F12" i="4"/>
  <c r="F36" i="4"/>
  <c r="E58" i="9" a="1"/>
  <c r="E58" i="9" s="1"/>
  <c r="B58" i="3" s="1"/>
  <c r="A58" i="3"/>
  <c r="F9" i="4"/>
  <c r="F53" i="4"/>
  <c r="F28" i="4"/>
  <c r="F59" i="4"/>
  <c r="F75" i="4"/>
  <c r="F31" i="4"/>
  <c r="F71" i="4"/>
  <c r="F70" i="4"/>
  <c r="F33" i="4"/>
  <c r="F47" i="4"/>
  <c r="F8" i="4"/>
  <c r="F61" i="4"/>
  <c r="E4" i="5"/>
  <c r="F3" i="5"/>
  <c r="F54" i="4"/>
  <c r="E14" i="9" a="1"/>
  <c r="E14" i="9" s="1"/>
  <c r="B14" i="3" s="1"/>
  <c r="A14" i="3"/>
  <c r="E4" i="9" a="1"/>
  <c r="E4" i="9" s="1"/>
  <c r="B4" i="3" s="1"/>
  <c r="A4" i="3"/>
  <c r="E60" i="9" a="1"/>
  <c r="E60" i="9" s="1"/>
  <c r="B60" i="3" s="1"/>
  <c r="A60" i="3"/>
  <c r="E18" i="9" a="1"/>
  <c r="E18" i="9" s="1"/>
  <c r="B18" i="3" s="1"/>
  <c r="A18" i="3"/>
  <c r="E44" i="9" a="1"/>
  <c r="E44" i="9" s="1"/>
  <c r="B44" i="3" s="1"/>
  <c r="A44" i="3"/>
  <c r="E71" i="9" a="1"/>
  <c r="E71" i="9" s="1"/>
  <c r="B71" i="3" s="1"/>
  <c r="A71" i="3"/>
  <c r="E65" i="9" a="1"/>
  <c r="E65" i="9" s="1"/>
  <c r="B65" i="3" s="1"/>
  <c r="A65" i="3"/>
  <c r="E5" i="9" a="1"/>
  <c r="E5" i="9" s="1"/>
  <c r="B5" i="3" s="1"/>
  <c r="A5" i="3"/>
  <c r="E69" i="9" a="1"/>
  <c r="E69" i="9" s="1"/>
  <c r="B69" i="3" s="1"/>
  <c r="A69" i="3"/>
  <c r="C19" i="6" l="1"/>
  <c r="C15" i="6"/>
  <c r="C14" i="6"/>
  <c r="E5" i="5"/>
  <c r="F4" i="5"/>
  <c r="D61" i="4"/>
  <c r="D32" i="4"/>
  <c r="D69" i="4"/>
  <c r="D72" i="4"/>
  <c r="D64" i="4"/>
  <c r="E64" i="4" s="1"/>
  <c r="D56" i="4"/>
  <c r="E56" i="4" s="1"/>
  <c r="D6" i="4"/>
  <c r="D52" i="4"/>
  <c r="D24" i="4"/>
  <c r="D20" i="4"/>
  <c r="D73" i="4"/>
  <c r="E73" i="4" s="1"/>
  <c r="D31" i="4"/>
  <c r="D62" i="4"/>
  <c r="E62" i="4" s="1"/>
  <c r="D25" i="4"/>
  <c r="E25" i="4" s="1"/>
  <c r="D76" i="4"/>
  <c r="D8" i="4"/>
  <c r="D48" i="4"/>
  <c r="D21" i="4"/>
  <c r="E21" i="4" s="1"/>
  <c r="D45" i="4"/>
  <c r="D18" i="4"/>
  <c r="D17" i="4"/>
  <c r="E17" i="4" s="1"/>
  <c r="D36" i="4"/>
  <c r="D40" i="4"/>
  <c r="D16" i="4"/>
  <c r="D9" i="4"/>
  <c r="E9" i="4" s="1"/>
  <c r="D30" i="4"/>
  <c r="D42" i="4"/>
  <c r="D63" i="4"/>
  <c r="D67" i="4"/>
  <c r="E67" i="4" s="1"/>
  <c r="D68" i="4"/>
  <c r="E68" i="4" s="1"/>
  <c r="D70" i="4"/>
  <c r="E70" i="4" s="1"/>
  <c r="D41" i="4"/>
  <c r="E41" i="4" s="1"/>
  <c r="D27" i="4"/>
  <c r="D54" i="4"/>
  <c r="D75" i="4"/>
  <c r="D50" i="4"/>
  <c r="D46" i="4"/>
  <c r="E46" i="4" s="1"/>
  <c r="D43" i="4"/>
  <c r="E43" i="4" s="1"/>
  <c r="D57" i="4"/>
  <c r="D49" i="4"/>
  <c r="E49" i="4" s="1"/>
  <c r="D55" i="4"/>
  <c r="E55" i="4" s="1"/>
  <c r="D44" i="4"/>
  <c r="D10" i="4"/>
  <c r="D58" i="4"/>
  <c r="E58" i="4" s="1"/>
  <c r="D47" i="4"/>
  <c r="E47" i="4" s="1"/>
  <c r="D35" i="4"/>
  <c r="E35" i="4" s="1"/>
  <c r="D14" i="4"/>
  <c r="D74" i="4"/>
  <c r="E74" i="4" s="1"/>
  <c r="D23" i="4"/>
  <c r="D39" i="4"/>
  <c r="D66" i="4"/>
  <c r="D53" i="4"/>
  <c r="E53" i="4" s="1"/>
  <c r="D22" i="4"/>
  <c r="E22" i="4" s="1"/>
  <c r="D51" i="4"/>
  <c r="E51" i="4" s="1"/>
  <c r="D65" i="4"/>
  <c r="D11" i="4"/>
  <c r="E11" i="4" s="1"/>
  <c r="D37" i="4"/>
  <c r="D15" i="4"/>
  <c r="E15" i="4" s="1"/>
  <c r="D12" i="4"/>
  <c r="D71" i="4"/>
  <c r="E71" i="4" s="1"/>
  <c r="D38" i="4"/>
  <c r="E38" i="4" s="1"/>
  <c r="D29" i="4"/>
  <c r="E29" i="4" s="1"/>
  <c r="D19" i="4"/>
  <c r="E19" i="4" s="1"/>
  <c r="D60" i="4"/>
  <c r="D33" i="4"/>
  <c r="E33" i="4" s="1"/>
  <c r="D7" i="4"/>
  <c r="E7" i="4" s="1"/>
  <c r="D34" i="4"/>
  <c r="D59" i="4"/>
  <c r="E59" i="4" s="1"/>
  <c r="D26" i="4"/>
  <c r="D28" i="4"/>
  <c r="E28" i="4" s="1"/>
  <c r="D13" i="4"/>
  <c r="E13" i="4" s="1"/>
  <c r="I9" i="4"/>
  <c r="G68" i="4" l="1"/>
  <c r="H68" i="4"/>
  <c r="E26" i="4"/>
  <c r="G67" i="4"/>
  <c r="H67" i="4"/>
  <c r="G64" i="4"/>
  <c r="H64" i="4"/>
  <c r="E34" i="4"/>
  <c r="E12" i="4"/>
  <c r="E66" i="4"/>
  <c r="E10" i="4"/>
  <c r="E75" i="4"/>
  <c r="E42" i="4"/>
  <c r="E45" i="4"/>
  <c r="G73" i="4"/>
  <c r="H73" i="4"/>
  <c r="E69" i="4"/>
  <c r="G35" i="4"/>
  <c r="H35" i="4"/>
  <c r="G22" i="4"/>
  <c r="H22" i="4"/>
  <c r="G62" i="4"/>
  <c r="H62" i="4"/>
  <c r="G7" i="4"/>
  <c r="H7" i="4"/>
  <c r="C21" i="6"/>
  <c r="G15" i="4"/>
  <c r="H15" i="4"/>
  <c r="E39" i="4"/>
  <c r="E44" i="4"/>
  <c r="E54" i="4"/>
  <c r="E30" i="4"/>
  <c r="G21" i="4"/>
  <c r="H21" i="4"/>
  <c r="E20" i="4"/>
  <c r="E32" i="4"/>
  <c r="G28" i="4"/>
  <c r="H28" i="4"/>
  <c r="G56" i="4"/>
  <c r="H56" i="4"/>
  <c r="G33" i="4"/>
  <c r="H33" i="4"/>
  <c r="E23" i="4"/>
  <c r="G55" i="4"/>
  <c r="H55" i="4"/>
  <c r="E27" i="4"/>
  <c r="G9" i="4"/>
  <c r="H9" i="4"/>
  <c r="E48" i="4"/>
  <c r="E24" i="4"/>
  <c r="E61" i="4"/>
  <c r="G51" i="4"/>
  <c r="H51" i="4"/>
  <c r="E36" i="4"/>
  <c r="G47" i="4"/>
  <c r="H47" i="4"/>
  <c r="E37" i="4"/>
  <c r="J9" i="4"/>
  <c r="I10" i="4"/>
  <c r="E60" i="4"/>
  <c r="G11" i="4"/>
  <c r="H11" i="4"/>
  <c r="G74" i="4"/>
  <c r="H74" i="4"/>
  <c r="G49" i="4"/>
  <c r="H49" i="4"/>
  <c r="G41" i="4"/>
  <c r="H41" i="4"/>
  <c r="E16" i="4"/>
  <c r="E8" i="4"/>
  <c r="E52" i="4"/>
  <c r="G29" i="4"/>
  <c r="H29" i="4"/>
  <c r="G25" i="4"/>
  <c r="H25" i="4"/>
  <c r="G46" i="4"/>
  <c r="H46" i="4"/>
  <c r="G13" i="4"/>
  <c r="H13" i="4"/>
  <c r="G19" i="4"/>
  <c r="H19" i="4"/>
  <c r="E65" i="4"/>
  <c r="E14" i="4"/>
  <c r="C33" i="6" s="1" a="1"/>
  <c r="C33" i="6" s="1"/>
  <c r="E57" i="4"/>
  <c r="G70" i="4"/>
  <c r="H70" i="4"/>
  <c r="E40" i="4"/>
  <c r="E76" i="4"/>
  <c r="E6" i="5"/>
  <c r="F5" i="5"/>
  <c r="G43" i="4"/>
  <c r="H43" i="4"/>
  <c r="G38" i="4"/>
  <c r="H38" i="4"/>
  <c r="G17" i="4"/>
  <c r="H17" i="4"/>
  <c r="G59" i="4"/>
  <c r="H59" i="4"/>
  <c r="G71" i="4"/>
  <c r="H71" i="4"/>
  <c r="G53" i="4"/>
  <c r="H53" i="4"/>
  <c r="G58" i="4"/>
  <c r="H58" i="4"/>
  <c r="E50" i="4"/>
  <c r="E63" i="4"/>
  <c r="E18" i="4"/>
  <c r="E31" i="4"/>
  <c r="E72" i="4"/>
  <c r="G34" i="4" l="1"/>
  <c r="H34" i="4"/>
  <c r="G72" i="4"/>
  <c r="H72" i="4"/>
  <c r="G39" i="4"/>
  <c r="H39" i="4"/>
  <c r="G60" i="4"/>
  <c r="H60" i="4"/>
  <c r="G32" i="4"/>
  <c r="H32" i="4"/>
  <c r="G18" i="4"/>
  <c r="H18" i="4"/>
  <c r="G14" i="4"/>
  <c r="H14" i="4"/>
  <c r="J10" i="4"/>
  <c r="I11" i="4"/>
  <c r="G61" i="4"/>
  <c r="H61" i="4"/>
  <c r="G23" i="4"/>
  <c r="H23" i="4"/>
  <c r="G20" i="4"/>
  <c r="H20" i="4"/>
  <c r="C29" i="6"/>
  <c r="G45" i="4"/>
  <c r="H45" i="4"/>
  <c r="G31" i="4"/>
  <c r="H31" i="4"/>
  <c r="G57" i="4"/>
  <c r="H57" i="4"/>
  <c r="G65" i="4"/>
  <c r="H65" i="4"/>
  <c r="G24" i="4"/>
  <c r="H24" i="4"/>
  <c r="G16" i="4"/>
  <c r="H16" i="4"/>
  <c r="G63" i="4"/>
  <c r="H63" i="4"/>
  <c r="G50" i="4"/>
  <c r="H50" i="4"/>
  <c r="F6" i="5"/>
  <c r="E7" i="5"/>
  <c r="G37" i="4"/>
  <c r="H37" i="4"/>
  <c r="G48" i="4"/>
  <c r="H48" i="4"/>
  <c r="C35" i="6" a="1"/>
  <c r="C35" i="6" s="1"/>
  <c r="G42" i="4"/>
  <c r="H42" i="4"/>
  <c r="G76" i="4"/>
  <c r="H76" i="4"/>
  <c r="G30" i="4"/>
  <c r="H30" i="4"/>
  <c r="G40" i="4"/>
  <c r="H40" i="4"/>
  <c r="G52" i="4"/>
  <c r="H52" i="4"/>
  <c r="G54" i="4"/>
  <c r="H54" i="4"/>
  <c r="G10" i="4"/>
  <c r="H10" i="4"/>
  <c r="G26" i="4"/>
  <c r="H26" i="4"/>
  <c r="G75" i="4"/>
  <c r="H75" i="4"/>
  <c r="G8" i="4"/>
  <c r="H8" i="4"/>
  <c r="G36" i="4"/>
  <c r="H36" i="4"/>
  <c r="G27" i="4"/>
  <c r="H27" i="4"/>
  <c r="G44" i="4"/>
  <c r="H44" i="4"/>
  <c r="G66" i="4"/>
  <c r="H66" i="4"/>
  <c r="C34" i="6" a="1"/>
  <c r="C34" i="6" s="1"/>
  <c r="G69" i="4"/>
  <c r="H69" i="4"/>
  <c r="G12" i="4"/>
  <c r="H12" i="4"/>
  <c r="C22" i="6" l="1"/>
  <c r="C23" i="6" s="1"/>
  <c r="J11" i="4"/>
  <c r="I12" i="4"/>
  <c r="F7" i="5"/>
  <c r="E8" i="5"/>
  <c r="J12" i="4" l="1"/>
  <c r="I13" i="4"/>
  <c r="E9" i="5"/>
  <c r="F8" i="5"/>
  <c r="E10" i="5" l="1"/>
  <c r="F9" i="5"/>
  <c r="J13" i="4"/>
  <c r="I14" i="4"/>
  <c r="J14" i="4" l="1"/>
  <c r="I15" i="4"/>
  <c r="F10" i="5"/>
  <c r="E11" i="5"/>
  <c r="F11" i="5" l="1"/>
  <c r="E12" i="5"/>
  <c r="J15" i="4"/>
  <c r="I16" i="4"/>
  <c r="J16" i="4" l="1"/>
  <c r="I17" i="4"/>
  <c r="E13" i="5"/>
  <c r="F12" i="5"/>
  <c r="E14" i="5" l="1"/>
  <c r="F13" i="5"/>
  <c r="J17" i="4"/>
  <c r="I18" i="4"/>
  <c r="J18" i="4" l="1"/>
  <c r="I19" i="4"/>
  <c r="F14" i="5"/>
  <c r="E15" i="5"/>
  <c r="F15" i="5" l="1"/>
  <c r="E16" i="5"/>
  <c r="J19" i="4"/>
  <c r="I20" i="4"/>
  <c r="J20" i="4" l="1"/>
  <c r="I21" i="4"/>
  <c r="E17" i="5"/>
  <c r="F16" i="5"/>
  <c r="E18" i="5" l="1"/>
  <c r="F17" i="5"/>
  <c r="J21" i="4"/>
  <c r="I22" i="4"/>
  <c r="J22" i="4" l="1"/>
  <c r="I23" i="4"/>
  <c r="E19" i="5"/>
  <c r="F18" i="5"/>
  <c r="J23" i="4" l="1"/>
  <c r="I24" i="4"/>
  <c r="E20" i="5"/>
  <c r="F19" i="5"/>
  <c r="F20" i="5" l="1"/>
  <c r="E21" i="5"/>
  <c r="J24" i="4"/>
  <c r="I25" i="4"/>
  <c r="J25" i="4" l="1"/>
  <c r="I26" i="4"/>
  <c r="E22" i="5"/>
  <c r="F21" i="5"/>
  <c r="F22" i="5" l="1"/>
  <c r="E23" i="5"/>
  <c r="J26" i="4"/>
  <c r="I27" i="4"/>
  <c r="J27" i="4" l="1"/>
  <c r="I28" i="4"/>
  <c r="F23" i="5"/>
  <c r="E24" i="5"/>
  <c r="E25" i="5" l="1"/>
  <c r="F24" i="5"/>
  <c r="J28" i="4"/>
  <c r="I29" i="4"/>
  <c r="J29" i="4" l="1"/>
  <c r="I30" i="4"/>
  <c r="E26" i="5"/>
  <c r="F25" i="5"/>
  <c r="E27" i="5" l="1"/>
  <c r="F26" i="5"/>
  <c r="J30" i="4"/>
  <c r="I31" i="4"/>
  <c r="J31" i="4" l="1"/>
  <c r="I32" i="4"/>
  <c r="F27" i="5"/>
  <c r="E28" i="5"/>
  <c r="J32" i="4" l="1"/>
  <c r="I33" i="4"/>
  <c r="E29" i="5"/>
  <c r="F28" i="5"/>
  <c r="E30" i="5" l="1"/>
  <c r="F29" i="5"/>
  <c r="J33" i="4"/>
  <c r="I34" i="4"/>
  <c r="J34" i="4" l="1"/>
  <c r="I35" i="4"/>
  <c r="E31" i="5"/>
  <c r="F30" i="5"/>
  <c r="J35" i="4" l="1"/>
  <c r="I36" i="4"/>
  <c r="E32" i="5"/>
  <c r="F31" i="5"/>
  <c r="E33" i="5" l="1"/>
  <c r="F32" i="5"/>
  <c r="J36" i="4"/>
  <c r="I37" i="4"/>
  <c r="J37" i="4" l="1"/>
  <c r="I38" i="4"/>
  <c r="E34" i="5"/>
  <c r="F33" i="5"/>
  <c r="J38" i="4" l="1"/>
  <c r="I39" i="4"/>
  <c r="F34" i="5"/>
  <c r="E35" i="5"/>
  <c r="F35" i="5" l="1"/>
  <c r="E36" i="5"/>
  <c r="J39" i="4"/>
  <c r="I40" i="4"/>
  <c r="J40" i="4" l="1"/>
  <c r="I41" i="4"/>
  <c r="E37" i="5"/>
  <c r="F36" i="5"/>
  <c r="J41" i="4" l="1"/>
  <c r="I42" i="4"/>
  <c r="E38" i="5"/>
  <c r="F37" i="5"/>
  <c r="J42" i="4" l="1"/>
  <c r="I43" i="4"/>
  <c r="F38" i="5"/>
  <c r="E39" i="5"/>
  <c r="J43" i="4" l="1"/>
  <c r="I44" i="4"/>
  <c r="F39" i="5"/>
  <c r="E40" i="5"/>
  <c r="J44" i="4" l="1"/>
  <c r="I45" i="4"/>
  <c r="E41" i="5"/>
  <c r="F40" i="5"/>
  <c r="F41" i="5" l="1"/>
  <c r="E42" i="5"/>
  <c r="J45" i="4"/>
  <c r="I46" i="4"/>
  <c r="J46" i="4" l="1"/>
  <c r="I47" i="4"/>
  <c r="F42" i="5"/>
  <c r="E43" i="5"/>
  <c r="J47" i="4" l="1"/>
  <c r="I48" i="4"/>
  <c r="E44" i="5"/>
  <c r="F43" i="5"/>
  <c r="E45" i="5" l="1"/>
  <c r="F44" i="5"/>
  <c r="J48" i="4"/>
  <c r="I49" i="4"/>
  <c r="J49" i="4" l="1"/>
  <c r="I50" i="4"/>
  <c r="F45" i="5"/>
  <c r="E46" i="5"/>
  <c r="F46" i="5" l="1"/>
  <c r="E47" i="5"/>
  <c r="J50" i="4"/>
  <c r="I51" i="4"/>
  <c r="J51" i="4" l="1"/>
  <c r="I52" i="4"/>
  <c r="F47" i="5"/>
  <c r="E48" i="5"/>
  <c r="E49" i="5" l="1"/>
  <c r="F48" i="5"/>
  <c r="J52" i="4"/>
  <c r="I53" i="4"/>
  <c r="J53" i="4" l="1"/>
  <c r="I54" i="4"/>
  <c r="F49" i="5"/>
  <c r="E50" i="5"/>
  <c r="F50" i="5" l="1"/>
  <c r="E51" i="5"/>
  <c r="J54" i="4"/>
  <c r="I55" i="4"/>
  <c r="J55" i="4" l="1"/>
  <c r="I56" i="4"/>
  <c r="F51" i="5"/>
  <c r="E52" i="5"/>
  <c r="E53" i="5" l="1"/>
  <c r="F52" i="5"/>
  <c r="J56" i="4"/>
  <c r="I57" i="4"/>
  <c r="J57" i="4" l="1"/>
  <c r="I58" i="4"/>
  <c r="E54" i="5"/>
  <c r="F53" i="5"/>
  <c r="E55" i="5" l="1"/>
  <c r="F54" i="5"/>
  <c r="J58" i="4"/>
  <c r="I59" i="4"/>
  <c r="J59" i="4" l="1"/>
  <c r="I60" i="4"/>
  <c r="E56" i="5"/>
  <c r="F55" i="5"/>
  <c r="F56" i="5" l="1"/>
  <c r="E57" i="5"/>
  <c r="J60" i="4"/>
  <c r="I61" i="4"/>
  <c r="J61" i="4" l="1"/>
  <c r="I62" i="4"/>
  <c r="F57" i="5"/>
  <c r="E58" i="5"/>
  <c r="F58" i="5" l="1"/>
  <c r="E59" i="5"/>
  <c r="J62" i="4"/>
  <c r="I63" i="4"/>
  <c r="J63" i="4" l="1"/>
  <c r="I64" i="4"/>
  <c r="F59" i="5"/>
  <c r="E60" i="5"/>
  <c r="F60" i="5" l="1"/>
  <c r="E61" i="5"/>
  <c r="J64" i="4"/>
  <c r="I65" i="4"/>
  <c r="J65" i="4" l="1"/>
  <c r="I66" i="4"/>
  <c r="E62" i="5"/>
  <c r="F61" i="5"/>
  <c r="F62" i="5" l="1"/>
  <c r="E63" i="5"/>
  <c r="J66" i="4"/>
  <c r="I67" i="4"/>
  <c r="J67" i="4" l="1"/>
  <c r="I68" i="4"/>
  <c r="F63" i="5"/>
  <c r="E64" i="5"/>
  <c r="J68" i="4" l="1"/>
  <c r="I69" i="4"/>
  <c r="E65" i="5"/>
  <c r="F64" i="5"/>
  <c r="J69" i="4" l="1"/>
  <c r="I70" i="4"/>
  <c r="F65" i="5"/>
  <c r="E66" i="5"/>
  <c r="F66" i="5" l="1"/>
  <c r="E67" i="5"/>
  <c r="J70" i="4"/>
  <c r="I71" i="4"/>
  <c r="J71" i="4" l="1"/>
  <c r="I72" i="4"/>
  <c r="F67" i="5"/>
  <c r="E68" i="5"/>
  <c r="F68" i="5" l="1"/>
  <c r="E69" i="5"/>
  <c r="J72" i="4"/>
  <c r="I73" i="4"/>
  <c r="J73" i="4" l="1"/>
  <c r="I74" i="4"/>
  <c r="E70" i="5"/>
  <c r="F69" i="5"/>
  <c r="J74" i="4" l="1"/>
  <c r="I75" i="4"/>
  <c r="E71" i="5"/>
  <c r="F70" i="5"/>
  <c r="E72" i="5" l="1"/>
  <c r="F71" i="5"/>
  <c r="J75" i="4"/>
  <c r="I76" i="4"/>
  <c r="J76" i="4" s="1"/>
  <c r="C30" i="6" s="1"/>
  <c r="C31" i="6" s="1"/>
  <c r="F72" i="5" l="1"/>
  <c r="G72" i="5" s="1"/>
  <c r="J5" i="5" s="1"/>
  <c r="C41" i="6" s="1"/>
  <c r="J2" i="5"/>
  <c r="C43" i="6" l="1"/>
  <c r="J4" i="5"/>
  <c r="C42" i="6" l="1"/>
  <c r="G200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<sst xmlns="http://schemas.openxmlformats.org/spreadsheetml/2006/main" count="288" uniqueCount="245">
  <si>
    <t>Symbol</t>
  </si>
  <si>
    <t>value</t>
  </si>
  <si>
    <t>Risk-Free Rate (annual, %)</t>
  </si>
  <si>
    <t>IN10Y</t>
  </si>
  <si>
    <t>Minimum Acceptable Return (annual, %)</t>
  </si>
  <si>
    <t>Mutual funds do not give profit every month In some months NAV goes up, in some months it goes down. This is normal and not a problem in long-term SIP.If we set MAR = 6%, then even a small normal drop looks “bad” in calculation. To avoid wrongly marking normal movements as bad, we set:MAR = 0%</t>
  </si>
  <si>
    <t>SIP Amount (₹ per month)</t>
  </si>
  <si>
    <t>Assume Dates Are Month-End? (Yes/No)</t>
  </si>
  <si>
    <t>Yes</t>
  </si>
  <si>
    <t>Risk Free Rate</t>
  </si>
  <si>
    <t>https://in.tradingview.com/symbols/TVC-IN10Y/</t>
  </si>
  <si>
    <t>Term to Maturity</t>
  </si>
  <si>
    <t>Maturity date</t>
  </si>
  <si>
    <t>IN03MY</t>
  </si>
  <si>
    <t>3 months</t>
  </si>
  <si>
    <t>Feb 6, 2026</t>
  </si>
  <si>
    <t>IN06MY</t>
  </si>
  <si>
    <t>6 months</t>
  </si>
  <si>
    <t>May 8, 2026</t>
  </si>
  <si>
    <t>IN01Y</t>
  </si>
  <si>
    <t>1 year</t>
  </si>
  <si>
    <t>Oct 29, 2026</t>
  </si>
  <si>
    <t>INO2Y</t>
  </si>
  <si>
    <t>2 years</t>
  </si>
  <si>
    <t>Apr 10, 2028</t>
  </si>
  <si>
    <t>IN03Y</t>
  </si>
  <si>
    <t>3 years</t>
  </si>
  <si>
    <t>Oct 23, 2028</t>
  </si>
  <si>
    <t>IN04Y</t>
  </si>
  <si>
    <t>4 years</t>
  </si>
  <si>
    <t>Dec 23, 2029</t>
  </si>
  <si>
    <t>IN05Y</t>
  </si>
  <si>
    <t>5 years</t>
  </si>
  <si>
    <t>Jul 21, 2030</t>
  </si>
  <si>
    <t>IN06Y</t>
  </si>
  <si>
    <t>6 years</t>
  </si>
  <si>
    <t>Jan 17, 2032</t>
  </si>
  <si>
    <t>INO7Y</t>
  </si>
  <si>
    <t>7 years</t>
  </si>
  <si>
    <t>Jul 14, 2032</t>
  </si>
  <si>
    <t>IN08Y</t>
  </si>
  <si>
    <t>8 years</t>
  </si>
  <si>
    <t>Aug 14, 2033</t>
  </si>
  <si>
    <t>INO9Y</t>
  </si>
  <si>
    <t>9 years</t>
  </si>
  <si>
    <t>Oct 7, 2034</t>
  </si>
  <si>
    <t>10 years</t>
  </si>
  <si>
    <t>May 5, 2035</t>
  </si>
  <si>
    <t>IN11Y</t>
  </si>
  <si>
    <t>11 years</t>
  </si>
  <si>
    <t>May 23, 2036</t>
  </si>
  <si>
    <t>IN12Y</t>
  </si>
  <si>
    <t>12 years</t>
  </si>
  <si>
    <t>Jul 24, 2037</t>
  </si>
  <si>
    <t>IN13Y</t>
  </si>
  <si>
    <t>13 years</t>
  </si>
  <si>
    <t>Apr 15, 2039</t>
  </si>
  <si>
    <t>IN14Y</t>
  </si>
  <si>
    <t>14 years</t>
  </si>
  <si>
    <t>Nov 18, 2039</t>
  </si>
  <si>
    <t>Date</t>
  </si>
  <si>
    <t>Fund_NAV</t>
  </si>
  <si>
    <t>https://www.easternfin.com/mf-research/historical-NAV/Quant%20Mid%20Cap%20Fund%20-%20Growth%20Option%20-%20Direct%20Plan?start_date=11-11-2020&amp;end_date=11-11-2025</t>
  </si>
  <si>
    <t>Quant Multi Asset Allocation Fund-GROWTH OPTION-Direct Plan</t>
  </si>
  <si>
    <t>Benchmark_Value</t>
  </si>
  <si>
    <t>Helper/Series</t>
  </si>
  <si>
    <t>Formula / Notes</t>
  </si>
  <si>
    <t>Monthly Risk-Free (decimal)</t>
  </si>
  <si>
    <t>Monthly MAR (decimal)</t>
  </si>
  <si>
    <t>Fund_Monthly_Return</t>
  </si>
  <si>
    <t>BM_Monthly_Return</t>
  </si>
  <si>
    <t>Excess_Fund (r - rf/12)</t>
  </si>
  <si>
    <t>Excess_BM (r - rf/12)</t>
  </si>
  <si>
    <t>Active_Return (Fund - BM)</t>
  </si>
  <si>
    <t>Running_Peak_NAV</t>
  </si>
  <si>
    <t>Drawdown</t>
  </si>
  <si>
    <t>NAV</t>
  </si>
  <si>
    <t>SIP Amount</t>
  </si>
  <si>
    <t>Units Bought</t>
  </si>
  <si>
    <t>Cumulative Units</t>
  </si>
  <si>
    <t>Value at NAV</t>
  </si>
  <si>
    <t>Cashflow for XIRR</t>
  </si>
  <si>
    <t>Current Units</t>
  </si>
  <si>
    <t>Last NAV</t>
  </si>
  <si>
    <t>Current Value</t>
  </si>
  <si>
    <t>SIP XIRR</t>
  </si>
  <si>
    <t>Final Value at Last Date</t>
  </si>
  <si>
    <t>Metric</t>
  </si>
  <si>
    <t>PERFORMANCE QUALITY</t>
  </si>
  <si>
    <t>Report</t>
  </si>
  <si>
    <t>Data Points (months)</t>
  </si>
  <si>
    <t>✅ PERFORMANCE QUALITY — 1-LINE CRITERIA FOR EACH METRIC</t>
  </si>
  <si>
    <t>Start Date</t>
  </si>
  <si>
    <t>End Date</t>
  </si>
  <si>
    <t>Absolute Return (Fund) – Good if above 100% over multi-year period.</t>
  </si>
  <si>
    <t>Start Nav</t>
  </si>
  <si>
    <t>End Nav</t>
  </si>
  <si>
    <t>CAGR (Fund, annual) – Good if 12%–18%+, excellent if &gt;18%.</t>
  </si>
  <si>
    <t>Absolute Return (Fund)</t>
  </si>
  <si>
    <t>Good if above 100% over multi-year period.</t>
  </si>
  <si>
    <t>AVERAGE</t>
  </si>
  <si>
    <t>CAGR (Fund, annual)</t>
  </si>
  <si>
    <t>Good if 12%–18%+, excellent if &gt;18%.</t>
  </si>
  <si>
    <t>GOOD</t>
  </si>
  <si>
    <t>CAGR (Benchmark, annual) – Good if 10%–14%.</t>
  </si>
  <si>
    <t>CAGR (Benchmark, annual)</t>
  </si>
  <si>
    <t>No “good/bad”; benchmark return varies by index — use only for comparison.</t>
  </si>
  <si>
    <t>Average Monthly Return (Fund)</t>
  </si>
  <si>
    <t xml:space="preserve"> Good if &gt;0.8% per month (0.008).</t>
  </si>
  <si>
    <t>Average Monthly Return (Fund) – Good if &gt;0.8% per month (0.008).</t>
  </si>
  <si>
    <t>Stdev Monthly (Fund)</t>
  </si>
  <si>
    <t xml:space="preserve"> Good if &lt;6% (0.06); lower = more stable.</t>
  </si>
  <si>
    <t>Stdev Annualized (Fund)</t>
  </si>
  <si>
    <t xml:space="preserve"> Good if &lt;20%; &gt;25% = high risk.</t>
  </si>
  <si>
    <t>Stdev Monthly (Fund) – Good if &lt;6% (0.06); lower = more stable.</t>
  </si>
  <si>
    <t>Sharpe Ratio (Fund)</t>
  </si>
  <si>
    <t>Downside Deviation Monthly vs MAR</t>
  </si>
  <si>
    <t xml:space="preserve"> Good if &lt;3% (0.03).</t>
  </si>
  <si>
    <t>Stdev Annualized (Fund) – Good if &lt;20%; &gt;25% = high risk.</t>
  </si>
  <si>
    <t>Downside Deviation Annualized</t>
  </si>
  <si>
    <t>Good if &lt;10%.*</t>
  </si>
  <si>
    <t>Sortino Ratio (Fund)</t>
  </si>
  <si>
    <t>Sharpe Ratio (Fund) – Good if &gt;1.0, acceptable if 0.5–1.0.</t>
  </si>
  <si>
    <t>Beta (vs Benchmark)</t>
  </si>
  <si>
    <t>Alpha Monthly (excess)</t>
  </si>
  <si>
    <t>Good if &gt;0; strong if &gt;0.5% (0.005).</t>
  </si>
  <si>
    <t>Downside Deviation Monthly – Good if &lt;3% (0.03).</t>
  </si>
  <si>
    <t>Alpha Annualized</t>
  </si>
  <si>
    <t>Good if &gt;3%; excellent if &gt;5%.*</t>
  </si>
  <si>
    <t>R-Squared</t>
  </si>
  <si>
    <t>Healthy if 70%–95%; &lt;50% = low benchmark relevance.</t>
  </si>
  <si>
    <t>Downside Deviation Annualized – Good if &lt;10%.*</t>
  </si>
  <si>
    <t>Tracking Error (annualized)</t>
  </si>
  <si>
    <t>Good if 2%–6%; &gt;8% = very high deviation.</t>
  </si>
  <si>
    <t>Information Ratio</t>
  </si>
  <si>
    <t>Good if &gt;0.5; excellent if &gt;1.0.</t>
  </si>
  <si>
    <t>Sortino Ratio (Fund) – Good if &gt;1.0, acceptable if 0.5–1.0.</t>
  </si>
  <si>
    <t>Treynor Ratio</t>
  </si>
  <si>
    <t>Good if higher than benchmark (positive &amp; consistently rising).</t>
  </si>
  <si>
    <t>Max Drawdown</t>
  </si>
  <si>
    <t xml:space="preserve"> Good if better than –25% (less negative).</t>
  </si>
  <si>
    <t>Beta (vs Benchmark) – Good if between 0.7 and 1.0; &lt;0.7 = low-risk fund.</t>
  </si>
  <si>
    <t>Calmar Ratio</t>
  </si>
  <si>
    <t>Upside Capture Ratio</t>
  </si>
  <si>
    <t xml:space="preserve"> Good if 100%–130%; &gt;130% excellent.</t>
  </si>
  <si>
    <t>Alpha Monthly (excess) – Good if &gt;0; strong if &gt;0.5% (0.005).</t>
  </si>
  <si>
    <t>Downside Capture Ratio</t>
  </si>
  <si>
    <t>Good if &lt;90%; &lt;70% excellent.</t>
  </si>
  <si>
    <t>Hit Ratio (% months Fund &gt; BM)</t>
  </si>
  <si>
    <t>Good if &gt;50%; excellent if &gt;60%.</t>
  </si>
  <si>
    <t>Alpha Annualized – Good if &gt;3%; excellent if &gt;5%.*</t>
  </si>
  <si>
    <t>Skewness (monthly returns)</t>
  </si>
  <si>
    <t>Good if positive (right-skewed).</t>
  </si>
  <si>
    <t>Kurtosis (monthly returns)</t>
  </si>
  <si>
    <t>Good if between 2–4; &gt;7 = too much tail risk.</t>
  </si>
  <si>
    <t>R-Squared – Healthy if 70%–95%; &lt;50% = low benchmark relevance.</t>
  </si>
  <si>
    <t>Historical VaR 95% (monthly)</t>
  </si>
  <si>
    <t>Good if not worse than –5%.*</t>
  </si>
  <si>
    <t>Good if &gt;12%; excellent if &gt;15%.</t>
  </si>
  <si>
    <t>Tracking Error (annualized) – Good if 2%–6%; &gt;8% = very high deviation.</t>
  </si>
  <si>
    <t>SIP Current Value</t>
  </si>
  <si>
    <t>Good if significantly above total invested (compounding visible).</t>
  </si>
  <si>
    <t>Total Units (SIP)</t>
  </si>
  <si>
    <t xml:space="preserve"> (No good/bad range — depends only on NAV path.)</t>
  </si>
  <si>
    <t>Information Ratio – Good if &gt;0.5; excellent if &gt;1.0.</t>
  </si>
  <si>
    <t>Notes</t>
  </si>
  <si>
    <t>Treynor Ratio – Good if higher than benchmark (positive &amp; consistently rising).</t>
  </si>
  <si>
    <t>1) Paste monthly data as Date (YYYY-MM-DD) and NAV levels into the Tables on NAV_Data and Benchmark_Data.</t>
  </si>
  <si>
    <t>2) Risk-free rate and MAR are annualized percentages in Inputs. RF is used for Sharpe, Treynor, Alpha; MAR for Sortino.</t>
  </si>
  <si>
    <t>Max Drawdown – Good if better than –25% (less negative).</t>
  </si>
  <si>
    <t>3) SIP sheet assumes a fixed SIP amount at each date; XIRR uses negative monthly contributions and a positive final value.</t>
  </si>
  <si>
    <t>4) Upside/Downside Capture use cumulative returns for months when the benchmark is &gt;0 or &lt;0; requires Excel 365 for dynamic arrays.</t>
  </si>
  <si>
    <t>Calmar Ratio – Good if &gt;0.5; excellent if &gt;1.0.</t>
  </si>
  <si>
    <t>5) Max Drawdown is computed from NAV peaks in Calc.</t>
  </si>
  <si>
    <t>6) Tracking Error and Information Ratio are annualized using monthly frequency (×√12).</t>
  </si>
  <si>
    <t>Upside Capture Ratio – Good if 100%–130%; &gt;130% excellent.</t>
  </si>
  <si>
    <t>7) Alpha shown is regression intercept on monthly excess returns; annualized via (1+alpha)^12 -1.</t>
  </si>
  <si>
    <t>Downside Capture Ratio – Good if &lt;90%; &lt;70% excellent.</t>
  </si>
  <si>
    <t>Hit Ratio (% months Fund &gt; BM) – Good if &gt;50%; excellent if &gt;60%.</t>
  </si>
  <si>
    <t>Skewness (monthly returns) – Good if positive (right-skewed).</t>
  </si>
  <si>
    <t>Kurtosis (monthly returns) – Good if between 2–4; &gt;7 = too much tail risk.</t>
  </si>
  <si>
    <t>Historical VaR 95% (monthly) – Good if not worse than –5%.*</t>
  </si>
  <si>
    <t>SIP XIRR – Good if &gt;12%; excellent if &gt;15%.</t>
  </si>
  <si>
    <t>SIP Current Value – Good if significantly above total invested (compounding visible).</t>
  </si>
  <si>
    <t>Total Units (SIP) – (No good/bad range — depends only on NAV path.)</t>
  </si>
  <si>
    <t>NAV Date</t>
  </si>
  <si>
    <t>NAV (Rs)</t>
  </si>
  <si>
    <t>MonthEnd</t>
  </si>
  <si>
    <t>nav</t>
  </si>
  <si>
    <t>Actual Nav</t>
  </si>
  <si>
    <t>Price</t>
  </si>
  <si>
    <t>Open</t>
  </si>
  <si>
    <t>High</t>
  </si>
  <si>
    <t>Low</t>
  </si>
  <si>
    <t>Vol.</t>
  </si>
  <si>
    <t>Change %</t>
  </si>
  <si>
    <t>BAD</t>
  </si>
  <si>
    <t>(End NAV – Start NAV) / Start NAV</t>
  </si>
  <si>
    <t>(End NAV / Start NAV)^(1/Years) – 1</t>
  </si>
  <si>
    <t>(End BM / Start BM)^(1/Years) – 1</t>
  </si>
  <si>
    <t>σ_annual = σ_monthly × √12</t>
  </si>
  <si>
    <t>Sharpe = (Rp – Rf) / σ</t>
  </si>
  <si>
    <t>σd = sqrt( average( min(Rt – MAR, 0)^2 ) )</t>
  </si>
  <si>
    <t>Sortino = (Rp – Rf) / σd</t>
  </si>
  <si>
    <t>Cov(Fund, Benchmark) / Var(Benchmark)</t>
  </si>
  <si>
    <t>α = FundExcess – Beta × BenchmarkExcess</t>
  </si>
  <si>
    <t>(1 + α_monthly)^12 – 1</t>
  </si>
  <si>
    <t>StdDev(Active Return) × √12</t>
  </si>
  <si>
    <t>IR = Avg Active Return / Tracking Error</t>
  </si>
  <si>
    <t>Treynor = (Rp – Rf) / Beta</t>
  </si>
  <si>
    <t>Min(Drawdown Series)</t>
  </si>
  <si>
    <t>Calmar = CAGR / |MaxDD|</t>
  </si>
  <si>
    <t>Avg(FundReturns | Benchmark&gt;0) / Avg(BMReturns | BM&gt;0)</t>
  </si>
  <si>
    <t>Avg(FundReturns | Benchmark&lt;0) / Avg(BMReturns | BM&lt;0)</t>
  </si>
  <si>
    <t>Months FundReturn &gt; BMReturn</t>
  </si>
  <si>
    <t>Skew(Rp)</t>
  </si>
  <si>
    <t>Kurtosis(Rp)</t>
  </si>
  <si>
    <t>5th Percentile of Returns</t>
  </si>
  <si>
    <t>Count of return periods</t>
  </si>
  <si>
    <t>First NAV date</t>
  </si>
  <si>
    <t>Last NAV date</t>
  </si>
  <si>
    <t>First NAV value</t>
  </si>
  <si>
    <t>Last NAV value</t>
  </si>
  <si>
    <t>RETURN METRICS</t>
  </si>
  <si>
    <t>RISK METRICS</t>
  </si>
  <si>
    <t>DOWNSIDE RISK</t>
  </si>
  <si>
    <t>min(Rt – MAR, 0) → square → average → sqrt</t>
  </si>
  <si>
    <t>FACTOR METRICS</t>
  </si>
  <si>
    <t>TRACKING METRICS</t>
  </si>
  <si>
    <t>TREYNOR &amp; DRAWDOWN</t>
  </si>
  <si>
    <t>CAPTURE RATIOS</t>
  </si>
  <si>
    <t>DISTRIBUTION METRICS</t>
  </si>
  <si>
    <t>SIP METRICS</t>
  </si>
  <si>
    <t>XIRR(Cashflows)</t>
  </si>
  <si>
    <t>Units × Latest NAV</t>
  </si>
  <si>
    <t>SUM(Units Bought)</t>
  </si>
  <si>
    <t>Mean of Fund_Monthly_Return</t>
  </si>
  <si>
    <t>σ_monthly = Standard deviation of Fund_Monthly_Return</t>
  </si>
  <si>
    <t>Rp</t>
  </si>
  <si>
    <t xml:space="preserve"> Good if &gt;100% , acceptable if 50%–100%</t>
  </si>
  <si>
    <t>Good if between 70% and 100%; &lt;70% = low-risk fund.</t>
  </si>
  <si>
    <t>RSQ(mutual fund's returns, BM_Monthly_Return)</t>
  </si>
  <si>
    <t>Good if &gt;50%; excellent if &gt;100%.</t>
  </si>
  <si>
    <t>Value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</si>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</sst>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/mm/dd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7"/>
      <color rgb="FF212529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3CD"/>
        <bgColor rgb="FFFFF3CD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9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3" fillId="0" borderId="0" xfId="1"/>
    <xf numFmtId="0" fontId="0" fillId="3" borderId="0" xfId="0" applyFill="1"/>
    <xf numFmtId="164" fontId="0" fillId="5" borderId="0" xfId="0" applyNumberFormat="1" applyFill="1"/>
    <xf numFmtId="164" fontId="0" fillId="4" borderId="0" xfId="0" applyNumberFormat="1" applyFill="1"/>
    <xf numFmtId="0" fontId="0" fillId="4" borderId="0" xfId="0" applyFill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4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0" fontId="2" fillId="4" borderId="2" xfId="0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yyyy/mm/dd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yyyy/mm/dd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NAV_Data!$B$1</c:f>
              <c:strCache>
                <c:ptCount val="1"/>
                <c:pt idx="0">
                  <c:v>Fund_NAV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NAV_Data!$A$2:$A$72</c:f>
              <c:numCache>
                <c:formatCode>yyyy/mm/dd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45972</c:v>
                </c:pt>
              </c:numCache>
            </c:numRef>
          </c:cat>
          <c:val>
            <c:numRef>
              <c:f>NAV_Data!$B$2:$B$72</c:f>
              <c:numCache>
                <c:formatCode>General</c:formatCode>
                <c:ptCount val="71"/>
                <c:pt idx="0">
                  <c:v>40.256799999999998</c:v>
                </c:pt>
                <c:pt idx="1">
                  <c:v>39.144399999999997</c:v>
                </c:pt>
                <c:pt idx="2">
                  <c:v>30.860800000000001</c:v>
                </c:pt>
                <c:pt idx="3">
                  <c:v>34.441099999999999</c:v>
                </c:pt>
                <c:pt idx="4">
                  <c:v>34.025500000000001</c:v>
                </c:pt>
                <c:pt idx="5">
                  <c:v>36.039200000000001</c:v>
                </c:pt>
                <c:pt idx="6">
                  <c:v>43.588099999999997</c:v>
                </c:pt>
                <c:pt idx="7">
                  <c:v>45.274900000000002</c:v>
                </c:pt>
                <c:pt idx="8">
                  <c:v>46.104900000000001</c:v>
                </c:pt>
                <c:pt idx="9">
                  <c:v>47.628300000000003</c:v>
                </c:pt>
                <c:pt idx="10">
                  <c:v>48.426900000000003</c:v>
                </c:pt>
                <c:pt idx="11">
                  <c:v>50.5929</c:v>
                </c:pt>
                <c:pt idx="12">
                  <c:v>49.9191</c:v>
                </c:pt>
                <c:pt idx="13">
                  <c:v>52.4131</c:v>
                </c:pt>
                <c:pt idx="14">
                  <c:v>54.206499999999998</c:v>
                </c:pt>
                <c:pt idx="15">
                  <c:v>61.483699999999999</c:v>
                </c:pt>
                <c:pt idx="16">
                  <c:v>68.411299999999997</c:v>
                </c:pt>
                <c:pt idx="17">
                  <c:v>70.886300000000006</c:v>
                </c:pt>
                <c:pt idx="18">
                  <c:v>74.050399999999996</c:v>
                </c:pt>
                <c:pt idx="19">
                  <c:v>72.046899999999994</c:v>
                </c:pt>
                <c:pt idx="20">
                  <c:v>74.577699999999993</c:v>
                </c:pt>
                <c:pt idx="21">
                  <c:v>76.333299999999994</c:v>
                </c:pt>
                <c:pt idx="22">
                  <c:v>76.696399999999997</c:v>
                </c:pt>
                <c:pt idx="23">
                  <c:v>79.413300000000007</c:v>
                </c:pt>
                <c:pt idx="24">
                  <c:v>81.138000000000005</c:v>
                </c:pt>
                <c:pt idx="25">
                  <c:v>76.705600000000004</c:v>
                </c:pt>
                <c:pt idx="26">
                  <c:v>82.869900000000001</c:v>
                </c:pt>
                <c:pt idx="27">
                  <c:v>85.196399999999997</c:v>
                </c:pt>
                <c:pt idx="28">
                  <c:v>79.678100000000001</c:v>
                </c:pt>
                <c:pt idx="29">
                  <c:v>75.992999999999995</c:v>
                </c:pt>
                <c:pt idx="30">
                  <c:v>81.361500000000007</c:v>
                </c:pt>
                <c:pt idx="31">
                  <c:v>85.380099999999999</c:v>
                </c:pt>
                <c:pt idx="32">
                  <c:v>86.575800000000001</c:v>
                </c:pt>
                <c:pt idx="33">
                  <c:v>88.990099999999998</c:v>
                </c:pt>
                <c:pt idx="34">
                  <c:v>91.430599999999998</c:v>
                </c:pt>
                <c:pt idx="35">
                  <c:v>91.551299999999998</c:v>
                </c:pt>
                <c:pt idx="36">
                  <c:v>90.233000000000004</c:v>
                </c:pt>
                <c:pt idx="37">
                  <c:v>87.061700000000002</c:v>
                </c:pt>
                <c:pt idx="38">
                  <c:v>88.200500000000005</c:v>
                </c:pt>
                <c:pt idx="39">
                  <c:v>91.859499999999997</c:v>
                </c:pt>
                <c:pt idx="40">
                  <c:v>91.222099999999998</c:v>
                </c:pt>
                <c:pt idx="41">
                  <c:v>94.628799999999998</c:v>
                </c:pt>
                <c:pt idx="42">
                  <c:v>99.491399999999999</c:v>
                </c:pt>
                <c:pt idx="43">
                  <c:v>98.432000000000002</c:v>
                </c:pt>
                <c:pt idx="44">
                  <c:v>99.126499999999993</c:v>
                </c:pt>
                <c:pt idx="45">
                  <c:v>98.960999999999999</c:v>
                </c:pt>
                <c:pt idx="46">
                  <c:v>105.9502</c:v>
                </c:pt>
                <c:pt idx="47">
                  <c:v>113.3913</c:v>
                </c:pt>
                <c:pt idx="48">
                  <c:v>120.5412</c:v>
                </c:pt>
                <c:pt idx="49">
                  <c:v>126.8509</c:v>
                </c:pt>
                <c:pt idx="50">
                  <c:v>128.4136</c:v>
                </c:pt>
                <c:pt idx="51">
                  <c:v>136.8339</c:v>
                </c:pt>
                <c:pt idx="52">
                  <c:v>138.8331</c:v>
                </c:pt>
                <c:pt idx="53">
                  <c:v>140.9376</c:v>
                </c:pt>
                <c:pt idx="54">
                  <c:v>142.17070000000001</c:v>
                </c:pt>
                <c:pt idx="55">
                  <c:v>141.3777</c:v>
                </c:pt>
                <c:pt idx="56">
                  <c:v>149.45050000000001</c:v>
                </c:pt>
                <c:pt idx="57">
                  <c:v>145.16499999999999</c:v>
                </c:pt>
                <c:pt idx="58">
                  <c:v>146.48949999999999</c:v>
                </c:pt>
                <c:pt idx="59">
                  <c:v>144.6593</c:v>
                </c:pt>
                <c:pt idx="60">
                  <c:v>139.68299999999999</c:v>
                </c:pt>
                <c:pt idx="61">
                  <c:v>131.92850000000001</c:v>
                </c:pt>
                <c:pt idx="62">
                  <c:v>139.79820000000001</c:v>
                </c:pt>
                <c:pt idx="63">
                  <c:v>143.3409</c:v>
                </c:pt>
                <c:pt idx="64">
                  <c:v>149.3261</c:v>
                </c:pt>
                <c:pt idx="65">
                  <c:v>153.0351</c:v>
                </c:pt>
                <c:pt idx="66">
                  <c:v>151.7141</c:v>
                </c:pt>
                <c:pt idx="67">
                  <c:v>150.69710000000001</c:v>
                </c:pt>
                <c:pt idx="68">
                  <c:v>156.14330000000001</c:v>
                </c:pt>
                <c:pt idx="69">
                  <c:v>162.8732</c:v>
                </c:pt>
                <c:pt idx="70">
                  <c:v>163.46700000000001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2-4A8F-826D-D12FA7B3A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091136"/>
        <c:axId val="252092096"/>
      </c:lineChart>
      <c:dateAx>
        <c:axId val="25209113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92096"/>
        <c:crosses val="autoZero"/>
        <c:auto val="1"/>
        <c:lblOffset val="100"/>
        <c:baseTimeUnit val="days"/>
      </c:dateAx>
      <c:valAx>
        <c:axId val="2520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Benchmark_Data!$B$1</c:f>
              <c:strCache>
                <c:ptCount val="1"/>
                <c:pt idx="0">
                  <c:v>Benchmark_Value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numRef>
              <c:f>Benchmark_Data!$A$2:$A$81</c:f>
              <c:numCache>
                <c:formatCode>yyyy/mm/dd</c:formatCode>
                <c:ptCount val="80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45972</c:v>
                </c:pt>
              </c:numCache>
            </c:numRef>
          </c:cat>
          <c:val>
            <c:numRef>
              <c:f>Benchmark_Data!$B$2:$B$81</c:f>
              <c:numCache>
                <c:formatCode>#,##0.00</c:formatCode>
                <c:ptCount val="80"/>
                <c:pt idx="0">
                  <c:v>14804.57</c:v>
                </c:pt>
                <c:pt idx="1">
                  <c:v>13875.34</c:v>
                </c:pt>
                <c:pt idx="2">
                  <c:v>10167.459999999999</c:v>
                </c:pt>
                <c:pt idx="3">
                  <c:v>12072.43</c:v>
                </c:pt>
                <c:pt idx="4">
                  <c:v>11793.53</c:v>
                </c:pt>
                <c:pt idx="5">
                  <c:v>12783.45</c:v>
                </c:pt>
                <c:pt idx="6">
                  <c:v>13654.79</c:v>
                </c:pt>
                <c:pt idx="7">
                  <c:v>14179.34</c:v>
                </c:pt>
                <c:pt idx="8">
                  <c:v>14139.78</c:v>
                </c:pt>
                <c:pt idx="9">
                  <c:v>14521.56</c:v>
                </c:pt>
                <c:pt idx="10">
                  <c:v>16255.62</c:v>
                </c:pt>
                <c:pt idx="11">
                  <c:v>17470.79</c:v>
                </c:pt>
                <c:pt idx="12">
                  <c:v>17147.27</c:v>
                </c:pt>
                <c:pt idx="13">
                  <c:v>18504.86</c:v>
                </c:pt>
                <c:pt idx="14">
                  <c:v>18717.240000000002</c:v>
                </c:pt>
                <c:pt idx="15">
                  <c:v>18802.03</c:v>
                </c:pt>
                <c:pt idx="16">
                  <c:v>20138.099999999999</c:v>
                </c:pt>
                <c:pt idx="17">
                  <c:v>20552.2</c:v>
                </c:pt>
                <c:pt idx="18">
                  <c:v>20876.599999999999</c:v>
                </c:pt>
                <c:pt idx="19">
                  <c:v>22253.61</c:v>
                </c:pt>
                <c:pt idx="20">
                  <c:v>23029.08</c:v>
                </c:pt>
                <c:pt idx="21">
                  <c:v>23100.97</c:v>
                </c:pt>
                <c:pt idx="22">
                  <c:v>22447.74</c:v>
                </c:pt>
                <c:pt idx="23">
                  <c:v>22990.880000000001</c:v>
                </c:pt>
                <c:pt idx="24">
                  <c:v>22881.58</c:v>
                </c:pt>
                <c:pt idx="25">
                  <c:v>21978.65</c:v>
                </c:pt>
                <c:pt idx="26">
                  <c:v>22889.14</c:v>
                </c:pt>
                <c:pt idx="27">
                  <c:v>22726.01</c:v>
                </c:pt>
                <c:pt idx="28">
                  <c:v>21765.82</c:v>
                </c:pt>
                <c:pt idx="29">
                  <c:v>20667.27</c:v>
                </c:pt>
                <c:pt idx="30">
                  <c:v>22678.29</c:v>
                </c:pt>
                <c:pt idx="31">
                  <c:v>23740.37</c:v>
                </c:pt>
                <c:pt idx="32">
                  <c:v>22979.45</c:v>
                </c:pt>
                <c:pt idx="33">
                  <c:v>23919.759999999998</c:v>
                </c:pt>
                <c:pt idx="34">
                  <c:v>24738.49</c:v>
                </c:pt>
                <c:pt idx="35">
                  <c:v>23967.119999999999</c:v>
                </c:pt>
                <c:pt idx="36">
                  <c:v>23175.05</c:v>
                </c:pt>
                <c:pt idx="37">
                  <c:v>22546.35</c:v>
                </c:pt>
                <c:pt idx="38">
                  <c:v>22609.54</c:v>
                </c:pt>
                <c:pt idx="39">
                  <c:v>23643.94</c:v>
                </c:pt>
                <c:pt idx="40">
                  <c:v>24538.09</c:v>
                </c:pt>
                <c:pt idx="41">
                  <c:v>25605.81</c:v>
                </c:pt>
                <c:pt idx="42">
                  <c:v>26612.52</c:v>
                </c:pt>
                <c:pt idx="43">
                  <c:v>26451.77</c:v>
                </c:pt>
                <c:pt idx="44">
                  <c:v>27031.74</c:v>
                </c:pt>
                <c:pt idx="45">
                  <c:v>26281.759999999998</c:v>
                </c:pt>
                <c:pt idx="46">
                  <c:v>28161.16</c:v>
                </c:pt>
                <c:pt idx="47">
                  <c:v>30417.8</c:v>
                </c:pt>
                <c:pt idx="48">
                  <c:v>31011.17</c:v>
                </c:pt>
                <c:pt idx="49">
                  <c:v>31499.31</c:v>
                </c:pt>
                <c:pt idx="50">
                  <c:v>31499.32</c:v>
                </c:pt>
                <c:pt idx="51">
                  <c:v>32927.379999999997</c:v>
                </c:pt>
                <c:pt idx="52">
                  <c:v>33168.199999999997</c:v>
                </c:pt>
                <c:pt idx="53">
                  <c:v>35506.97</c:v>
                </c:pt>
                <c:pt idx="54">
                  <c:v>37066.080000000002</c:v>
                </c:pt>
                <c:pt idx="55">
                  <c:v>37449.919999999998</c:v>
                </c:pt>
                <c:pt idx="56">
                  <c:v>38261.39</c:v>
                </c:pt>
                <c:pt idx="57">
                  <c:v>35830.980000000003</c:v>
                </c:pt>
                <c:pt idx="58">
                  <c:v>35847.4</c:v>
                </c:pt>
                <c:pt idx="59">
                  <c:v>35357.9</c:v>
                </c:pt>
                <c:pt idx="60">
                  <c:v>34130.93</c:v>
                </c:pt>
                <c:pt idx="61">
                  <c:v>31473.37</c:v>
                </c:pt>
                <c:pt idx="62">
                  <c:v>33787.56</c:v>
                </c:pt>
                <c:pt idx="63">
                  <c:v>34886.080000000002</c:v>
                </c:pt>
                <c:pt idx="64">
                  <c:v>36160.26</c:v>
                </c:pt>
                <c:pt idx="65">
                  <c:v>37522.379999999997</c:v>
                </c:pt>
                <c:pt idx="66">
                  <c:v>36461.71</c:v>
                </c:pt>
                <c:pt idx="67">
                  <c:v>35799.379999999997</c:v>
                </c:pt>
                <c:pt idx="68">
                  <c:v>36248.22</c:v>
                </c:pt>
                <c:pt idx="69">
                  <c:v>37822.449999999997</c:v>
                </c:pt>
                <c:pt idx="70">
                  <c:v>37794.11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5-4196-AB5C-8A2D75B9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952224"/>
        <c:axId val="253952704"/>
      </c:areaChart>
      <c:dateAx>
        <c:axId val="253952224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52704"/>
        <c:crosses val="autoZero"/>
        <c:auto val="1"/>
        <c:lblOffset val="100"/>
        <c:baseTimeUnit val="days"/>
      </c:dateAx>
      <c:valAx>
        <c:axId val="2539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5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5</xdr:row>
      <xdr:rowOff>110490</xdr:rowOff>
    </xdr:from>
    <xdr:to>
      <xdr:col>10</xdr:col>
      <xdr:colOff>586740</xdr:colOff>
      <xdr:row>20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239B38-C991-4165-424B-996214C5E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5</xdr:row>
      <xdr:rowOff>80010</xdr:rowOff>
    </xdr:from>
    <xdr:to>
      <xdr:col>10</xdr:col>
      <xdr:colOff>594360</xdr:colOff>
      <xdr:row>20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C0682-593C-923B-A076-3A7FFAA7A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sar\Downloads\Excel_with_Dashboard.xlsx" TargetMode="External"/><Relationship Id="rId1" Type="http://schemas.openxmlformats.org/officeDocument/2006/relationships/externalLinkPath" Target="Excel_with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puts"/>
      <sheetName val="NAV_Data"/>
      <sheetName val="Benchmark_Data"/>
      <sheetName val="Calc"/>
      <sheetName val="SIP"/>
      <sheetName val="Summary"/>
      <sheetName val="Clean_NAV"/>
      <sheetName val="Nifty 500 TRI"/>
      <sheetName val="Clean_Benchmark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 t="str">
            <v>Date</v>
          </cell>
          <cell r="B5" t="str">
            <v>Fund_NAV</v>
          </cell>
        </row>
        <row r="6">
          <cell r="A6">
            <v>43861</v>
          </cell>
          <cell r="B6">
            <v>40.256799999999998</v>
          </cell>
        </row>
        <row r="7">
          <cell r="A7">
            <v>43890</v>
          </cell>
          <cell r="B7">
            <v>39.144399999999997</v>
          </cell>
        </row>
        <row r="8">
          <cell r="A8">
            <v>43921</v>
          </cell>
          <cell r="B8">
            <v>30.860800000000001</v>
          </cell>
        </row>
        <row r="9">
          <cell r="A9">
            <v>43951</v>
          </cell>
          <cell r="B9">
            <v>34.441099999999999</v>
          </cell>
        </row>
        <row r="10">
          <cell r="A10">
            <v>43982</v>
          </cell>
          <cell r="B10">
            <v>34.025500000000001</v>
          </cell>
        </row>
        <row r="11">
          <cell r="A11">
            <v>44012</v>
          </cell>
          <cell r="B11">
            <v>36.039200000000001</v>
          </cell>
        </row>
        <row r="12">
          <cell r="A12">
            <v>44043</v>
          </cell>
          <cell r="B12">
            <v>43.588099999999997</v>
          </cell>
        </row>
        <row r="13">
          <cell r="A13">
            <v>44074</v>
          </cell>
          <cell r="B13">
            <v>45.274900000000002</v>
          </cell>
        </row>
        <row r="14">
          <cell r="A14">
            <v>44104</v>
          </cell>
          <cell r="B14">
            <v>46.104900000000001</v>
          </cell>
        </row>
        <row r="15">
          <cell r="A15">
            <v>44135</v>
          </cell>
          <cell r="B15">
            <v>47.628300000000003</v>
          </cell>
        </row>
        <row r="16">
          <cell r="A16">
            <v>44165</v>
          </cell>
          <cell r="B16">
            <v>48.426900000000003</v>
          </cell>
        </row>
        <row r="17">
          <cell r="A17">
            <v>44196</v>
          </cell>
          <cell r="B17">
            <v>50.5929</v>
          </cell>
        </row>
        <row r="18">
          <cell r="A18">
            <v>44227</v>
          </cell>
          <cell r="B18">
            <v>49.9191</v>
          </cell>
        </row>
        <row r="19">
          <cell r="A19">
            <v>44255</v>
          </cell>
          <cell r="B19">
            <v>52.4131</v>
          </cell>
        </row>
        <row r="20">
          <cell r="A20">
            <v>44286</v>
          </cell>
          <cell r="B20">
            <v>54.206499999999998</v>
          </cell>
        </row>
        <row r="21">
          <cell r="A21">
            <v>44316</v>
          </cell>
          <cell r="B21">
            <v>61.483699999999999</v>
          </cell>
        </row>
        <row r="22">
          <cell r="A22">
            <v>44347</v>
          </cell>
          <cell r="B22">
            <v>68.411299999999997</v>
          </cell>
        </row>
        <row r="23">
          <cell r="A23">
            <v>44377</v>
          </cell>
          <cell r="B23">
            <v>70.886300000000006</v>
          </cell>
        </row>
        <row r="24">
          <cell r="A24">
            <v>44408</v>
          </cell>
          <cell r="B24">
            <v>74.050399999999996</v>
          </cell>
        </row>
        <row r="25">
          <cell r="A25">
            <v>44439</v>
          </cell>
          <cell r="B25">
            <v>72.046899999999994</v>
          </cell>
        </row>
        <row r="26">
          <cell r="A26">
            <v>44469</v>
          </cell>
          <cell r="B26">
            <v>74.577699999999993</v>
          </cell>
        </row>
        <row r="27">
          <cell r="A27">
            <v>44500</v>
          </cell>
          <cell r="B27">
            <v>76.333299999999994</v>
          </cell>
        </row>
        <row r="28">
          <cell r="A28">
            <v>44530</v>
          </cell>
          <cell r="B28">
            <v>76.696399999999997</v>
          </cell>
        </row>
        <row r="29">
          <cell r="A29">
            <v>44561</v>
          </cell>
          <cell r="B29">
            <v>79.413300000000007</v>
          </cell>
        </row>
        <row r="30">
          <cell r="A30">
            <v>44592</v>
          </cell>
          <cell r="B30">
            <v>81.138000000000005</v>
          </cell>
        </row>
        <row r="31">
          <cell r="A31">
            <v>44620</v>
          </cell>
          <cell r="B31">
            <v>76.705600000000004</v>
          </cell>
        </row>
        <row r="32">
          <cell r="A32">
            <v>44651</v>
          </cell>
          <cell r="B32">
            <v>82.869900000000001</v>
          </cell>
        </row>
        <row r="33">
          <cell r="A33">
            <v>44681</v>
          </cell>
          <cell r="B33">
            <v>85.196399999999997</v>
          </cell>
        </row>
        <row r="34">
          <cell r="A34">
            <v>44712</v>
          </cell>
          <cell r="B34">
            <v>79.678100000000001</v>
          </cell>
        </row>
        <row r="35">
          <cell r="A35">
            <v>44742</v>
          </cell>
          <cell r="B35">
            <v>75.992999999999995</v>
          </cell>
        </row>
        <row r="36">
          <cell r="A36">
            <v>44773</v>
          </cell>
          <cell r="B36">
            <v>81.361500000000007</v>
          </cell>
        </row>
        <row r="37">
          <cell r="A37">
            <v>44804</v>
          </cell>
          <cell r="B37">
            <v>85.380099999999999</v>
          </cell>
        </row>
        <row r="38">
          <cell r="A38">
            <v>44834</v>
          </cell>
          <cell r="B38">
            <v>86.575800000000001</v>
          </cell>
        </row>
        <row r="39">
          <cell r="A39">
            <v>44865</v>
          </cell>
          <cell r="B39">
            <v>88.990099999999998</v>
          </cell>
        </row>
        <row r="40">
          <cell r="A40">
            <v>44895</v>
          </cell>
          <cell r="B40">
            <v>91.430599999999998</v>
          </cell>
        </row>
        <row r="41">
          <cell r="A41">
            <v>44926</v>
          </cell>
          <cell r="B41">
            <v>91.551299999999998</v>
          </cell>
        </row>
        <row r="42">
          <cell r="A42">
            <v>44957</v>
          </cell>
          <cell r="B42">
            <v>90.233000000000004</v>
          </cell>
        </row>
        <row r="43">
          <cell r="A43">
            <v>44985</v>
          </cell>
          <cell r="B43">
            <v>87.061700000000002</v>
          </cell>
        </row>
        <row r="44">
          <cell r="A44">
            <v>45016</v>
          </cell>
          <cell r="B44">
            <v>88.200500000000005</v>
          </cell>
        </row>
        <row r="45">
          <cell r="A45">
            <v>45046</v>
          </cell>
          <cell r="B45">
            <v>91.859499999999997</v>
          </cell>
        </row>
        <row r="46">
          <cell r="A46">
            <v>45077</v>
          </cell>
          <cell r="B46">
            <v>91.222099999999998</v>
          </cell>
        </row>
        <row r="47">
          <cell r="A47">
            <v>45107</v>
          </cell>
          <cell r="B47">
            <v>94.628799999999998</v>
          </cell>
        </row>
        <row r="48">
          <cell r="A48">
            <v>45138</v>
          </cell>
          <cell r="B48">
            <v>99.491399999999999</v>
          </cell>
        </row>
        <row r="49">
          <cell r="A49">
            <v>45169</v>
          </cell>
          <cell r="B49">
            <v>98.432000000000002</v>
          </cell>
        </row>
        <row r="50">
          <cell r="A50">
            <v>45199</v>
          </cell>
          <cell r="B50">
            <v>99.126499999999993</v>
          </cell>
        </row>
        <row r="51">
          <cell r="A51">
            <v>45230</v>
          </cell>
          <cell r="B51">
            <v>98.960999999999999</v>
          </cell>
        </row>
        <row r="52">
          <cell r="A52">
            <v>45260</v>
          </cell>
          <cell r="B52">
            <v>105.9502</v>
          </cell>
        </row>
        <row r="53">
          <cell r="A53">
            <v>45291</v>
          </cell>
          <cell r="B53">
            <v>113.3913</v>
          </cell>
        </row>
        <row r="54">
          <cell r="A54">
            <v>45322</v>
          </cell>
          <cell r="B54">
            <v>120.5412</v>
          </cell>
        </row>
        <row r="55">
          <cell r="A55">
            <v>45351</v>
          </cell>
          <cell r="B55">
            <v>126.8509</v>
          </cell>
        </row>
        <row r="56">
          <cell r="A56">
            <v>45382</v>
          </cell>
          <cell r="B56">
            <v>128.4136</v>
          </cell>
        </row>
        <row r="57">
          <cell r="A57">
            <v>45412</v>
          </cell>
          <cell r="B57">
            <v>136.8339</v>
          </cell>
        </row>
        <row r="58">
          <cell r="A58">
            <v>45443</v>
          </cell>
          <cell r="B58">
            <v>138.8331</v>
          </cell>
        </row>
        <row r="59">
          <cell r="A59">
            <v>45473</v>
          </cell>
          <cell r="B59">
            <v>140.9376</v>
          </cell>
        </row>
        <row r="60">
          <cell r="A60">
            <v>45504</v>
          </cell>
          <cell r="B60">
            <v>142.17070000000001</v>
          </cell>
        </row>
        <row r="61">
          <cell r="A61">
            <v>45535</v>
          </cell>
          <cell r="B61">
            <v>141.3777</v>
          </cell>
        </row>
        <row r="62">
          <cell r="A62">
            <v>45565</v>
          </cell>
          <cell r="B62">
            <v>149.45050000000001</v>
          </cell>
        </row>
        <row r="63">
          <cell r="A63">
            <v>45596</v>
          </cell>
          <cell r="B63">
            <v>145.16499999999999</v>
          </cell>
        </row>
        <row r="64">
          <cell r="A64">
            <v>45626</v>
          </cell>
          <cell r="B64">
            <v>146.48949999999999</v>
          </cell>
        </row>
        <row r="65">
          <cell r="A65">
            <v>45657</v>
          </cell>
          <cell r="B65">
            <v>144.6593</v>
          </cell>
        </row>
        <row r="66">
          <cell r="A66">
            <v>45688</v>
          </cell>
          <cell r="B66">
            <v>139.68299999999999</v>
          </cell>
        </row>
        <row r="67">
          <cell r="A67">
            <v>45716</v>
          </cell>
          <cell r="B67">
            <v>131.92850000000001</v>
          </cell>
        </row>
        <row r="68">
          <cell r="A68">
            <v>45747</v>
          </cell>
          <cell r="B68">
            <v>139.79820000000001</v>
          </cell>
        </row>
        <row r="69">
          <cell r="A69">
            <v>45777</v>
          </cell>
          <cell r="B69">
            <v>143.3409</v>
          </cell>
        </row>
        <row r="70">
          <cell r="A70">
            <v>45808</v>
          </cell>
          <cell r="B70">
            <v>149.3261</v>
          </cell>
        </row>
        <row r="71">
          <cell r="A71">
            <v>45838</v>
          </cell>
          <cell r="B71">
            <v>153.0351</v>
          </cell>
        </row>
        <row r="72">
          <cell r="A72">
            <v>45869</v>
          </cell>
          <cell r="B72">
            <v>151.7141</v>
          </cell>
        </row>
        <row r="73">
          <cell r="A73">
            <v>45900</v>
          </cell>
          <cell r="B73">
            <v>150.69710000000001</v>
          </cell>
        </row>
        <row r="74">
          <cell r="A74">
            <v>45930</v>
          </cell>
          <cell r="B74">
            <v>156.14330000000001</v>
          </cell>
        </row>
        <row r="75">
          <cell r="A75">
            <v>45961</v>
          </cell>
          <cell r="B75">
            <v>162.8732</v>
          </cell>
        </row>
        <row r="76">
          <cell r="A76">
            <v>45972</v>
          </cell>
          <cell r="B76">
            <v>163.46700000000001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FundNAV" displayName="T_FundNAV" ref="A1:B72" headerRowDxfId="21" dataDxfId="19" totalsRowDxfId="17" headerRowBorderDxfId="20" tableBorderDxfId="18">
  <autoFilter ref="A1:B72" xr:uid="{00000000-0009-0000-0100-000001000000}"/>
  <tableColumns count="2">
    <tableColumn id="1" xr3:uid="{00000000-0010-0000-0000-000001000000}" name="Date" dataDxfId="16">
      <calculatedColumnFormula>Clean_NAV!E3</calculatedColumnFormula>
    </tableColumn>
    <tableColumn id="2" xr3:uid="{00000000-0010-0000-0000-000002000000}" name="Fund_NAV" dataDxfId="15">
      <calculatedColumnFormula>Clean_NAV!F3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Bench" displayName="T_Bench" ref="A1:B72" headerRowDxfId="14" dataDxfId="12" totalsRowDxfId="10" headerRowBorderDxfId="13" tableBorderDxfId="11">
  <autoFilter ref="A1:B72" xr:uid="{00000000-0009-0000-0100-000002000000}"/>
  <tableColumns count="2">
    <tableColumn id="1" xr3:uid="{00000000-0010-0000-0100-000001000000}" name="Date" dataDxfId="9">
      <calculatedColumnFormula>Clean_Benchmark!D2</calculatedColumnFormula>
    </tableColumn>
    <tableColumn id="2" xr3:uid="{00000000-0010-0000-0100-000002000000}" name="Benchmark_Value" dataDxfId="8">
      <calculatedColumnFormula>Clean_Benchmark!E2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.tradingview.com/symbols/TVC-IN10Y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asternfin.com/mf-research/historical-NAV/Quant%20Mid%20Cap%20Fund%20-%20Growth%20Option%20-%20Direct%20Plan?start_date=11-11-2020&amp;end_date=11-11-2025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B2" sqref="B2"/>
    </sheetView>
  </sheetViews>
  <sheetFormatPr defaultRowHeight="14.4" x14ac:dyDescent="0.3"/>
  <cols>
    <col min="1" max="1" width="38.44140625" customWidth="1"/>
    <col min="2" max="2" width="22" customWidth="1"/>
    <col min="3" max="3" width="16.33203125" customWidth="1"/>
    <col min="4" max="4" width="12.44140625" bestFit="1" customWidth="1"/>
  </cols>
  <sheetData>
    <row r="1" spans="1:11" ht="14.4" customHeight="1" x14ac:dyDescent="0.3">
      <c r="A1" s="21"/>
      <c r="B1" s="21" t="s">
        <v>0</v>
      </c>
      <c r="C1" s="21" t="s">
        <v>1</v>
      </c>
      <c r="F1" s="5"/>
      <c r="G1" s="5"/>
      <c r="H1" s="5"/>
      <c r="I1" s="5"/>
      <c r="J1" s="5"/>
    </row>
    <row r="2" spans="1:11" x14ac:dyDescent="0.3">
      <c r="A2" s="31" t="s">
        <v>2</v>
      </c>
      <c r="B2" s="18" t="s">
        <v>3</v>
      </c>
      <c r="C2" s="18">
        <f>VLOOKUP(B2,$A$11:$D$27,4,0)</f>
        <v>6.5060000000000002</v>
      </c>
      <c r="E2" s="5"/>
      <c r="F2" s="5"/>
      <c r="G2" s="5"/>
      <c r="H2" s="5"/>
      <c r="I2" s="5"/>
      <c r="J2" s="5"/>
    </row>
    <row r="3" spans="1:11" ht="18" customHeight="1" x14ac:dyDescent="0.3">
      <c r="A3" s="31" t="s">
        <v>4</v>
      </c>
      <c r="B3" s="18"/>
      <c r="C3" s="18">
        <v>0</v>
      </c>
      <c r="E3" s="56" t="s">
        <v>5</v>
      </c>
      <c r="F3" s="57"/>
      <c r="G3" s="57"/>
      <c r="H3" s="57"/>
      <c r="I3" s="57"/>
      <c r="J3" s="57"/>
      <c r="K3" s="57"/>
    </row>
    <row r="4" spans="1:11" ht="14.4" customHeight="1" x14ac:dyDescent="0.3">
      <c r="A4" s="31" t="s">
        <v>6</v>
      </c>
      <c r="B4" s="18"/>
      <c r="C4" s="18">
        <v>1000</v>
      </c>
      <c r="E4" s="57"/>
      <c r="F4" s="57"/>
      <c r="G4" s="57"/>
      <c r="H4" s="57"/>
      <c r="I4" s="57"/>
      <c r="J4" s="57"/>
      <c r="K4" s="57"/>
    </row>
    <row r="5" spans="1:11" ht="14.4" customHeight="1" x14ac:dyDescent="0.3">
      <c r="A5" s="31" t="s">
        <v>7</v>
      </c>
      <c r="B5" s="18"/>
      <c r="C5" s="18" t="s">
        <v>8</v>
      </c>
      <c r="E5" s="57"/>
      <c r="F5" s="57"/>
      <c r="G5" s="57"/>
      <c r="H5" s="57"/>
      <c r="I5" s="57"/>
      <c r="J5" s="57"/>
      <c r="K5" s="57"/>
    </row>
    <row r="6" spans="1:11" ht="14.4" customHeight="1" x14ac:dyDescent="0.3">
      <c r="E6" s="57"/>
      <c r="F6" s="57"/>
      <c r="G6" s="57"/>
      <c r="H6" s="57"/>
      <c r="I6" s="57"/>
      <c r="J6" s="57"/>
      <c r="K6" s="57"/>
    </row>
    <row r="7" spans="1:11" ht="14.4" customHeight="1" x14ac:dyDescent="0.3">
      <c r="E7" s="57"/>
      <c r="F7" s="57"/>
      <c r="G7" s="57"/>
      <c r="H7" s="57"/>
      <c r="I7" s="57"/>
      <c r="J7" s="57"/>
      <c r="K7" s="57"/>
    </row>
    <row r="8" spans="1:11" ht="14.4" customHeight="1" x14ac:dyDescent="0.3">
      <c r="E8" s="5"/>
      <c r="F8" s="5"/>
      <c r="G8" s="5"/>
      <c r="H8" s="5"/>
      <c r="I8" s="5"/>
      <c r="J8" s="5"/>
    </row>
    <row r="9" spans="1:11" x14ac:dyDescent="0.3">
      <c r="A9" s="58" t="s">
        <v>9</v>
      </c>
      <c r="B9" s="57"/>
      <c r="C9" s="57"/>
      <c r="D9" s="57"/>
    </row>
    <row r="10" spans="1:11" x14ac:dyDescent="0.3">
      <c r="A10" s="59" t="s">
        <v>10</v>
      </c>
      <c r="B10" s="57"/>
      <c r="C10" s="57"/>
      <c r="D10" s="57"/>
    </row>
    <row r="11" spans="1:11" x14ac:dyDescent="0.3">
      <c r="A11" s="32" t="s">
        <v>0</v>
      </c>
      <c r="B11" s="32" t="s">
        <v>11</v>
      </c>
      <c r="C11" s="32" t="s">
        <v>12</v>
      </c>
      <c r="D11" s="32" t="s">
        <v>9</v>
      </c>
    </row>
    <row r="12" spans="1:11" x14ac:dyDescent="0.3">
      <c r="A12" s="18" t="s">
        <v>13</v>
      </c>
      <c r="B12" s="18" t="s">
        <v>14</v>
      </c>
      <c r="C12" s="18" t="s">
        <v>15</v>
      </c>
      <c r="D12" s="20">
        <v>5.42</v>
      </c>
    </row>
    <row r="13" spans="1:11" x14ac:dyDescent="0.3">
      <c r="A13" s="18" t="s">
        <v>16</v>
      </c>
      <c r="B13" s="18" t="s">
        <v>17</v>
      </c>
      <c r="C13" s="18" t="s">
        <v>18</v>
      </c>
      <c r="D13" s="18">
        <v>5.5620000000000003</v>
      </c>
    </row>
    <row r="14" spans="1:11" x14ac:dyDescent="0.3">
      <c r="A14" s="18" t="s">
        <v>19</v>
      </c>
      <c r="B14" s="18" t="s">
        <v>20</v>
      </c>
      <c r="C14" s="18" t="s">
        <v>21</v>
      </c>
      <c r="D14" s="18">
        <v>5.5519999999999996</v>
      </c>
    </row>
    <row r="15" spans="1:11" x14ac:dyDescent="0.3">
      <c r="A15" s="18" t="s">
        <v>22</v>
      </c>
      <c r="B15" s="18" t="s">
        <v>23</v>
      </c>
      <c r="C15" s="18" t="s">
        <v>24</v>
      </c>
      <c r="D15" s="18">
        <v>5.7759999999999998</v>
      </c>
    </row>
    <row r="16" spans="1:11" x14ac:dyDescent="0.3">
      <c r="A16" s="18" t="s">
        <v>25</v>
      </c>
      <c r="B16" s="18" t="s">
        <v>26</v>
      </c>
      <c r="C16" s="18" t="s">
        <v>27</v>
      </c>
      <c r="D16" s="18">
        <v>5.8380000000000001</v>
      </c>
    </row>
    <row r="17" spans="1:4" x14ac:dyDescent="0.3">
      <c r="A17" s="18" t="s">
        <v>28</v>
      </c>
      <c r="B17" s="18" t="s">
        <v>29</v>
      </c>
      <c r="C17" s="18" t="s">
        <v>30</v>
      </c>
      <c r="D17" s="18">
        <v>6.085</v>
      </c>
    </row>
    <row r="18" spans="1:4" x14ac:dyDescent="0.3">
      <c r="A18" s="18" t="s">
        <v>31</v>
      </c>
      <c r="B18" s="18" t="s">
        <v>32</v>
      </c>
      <c r="C18" s="18" t="s">
        <v>33</v>
      </c>
      <c r="D18" s="18">
        <v>6.165</v>
      </c>
    </row>
    <row r="19" spans="1:4" x14ac:dyDescent="0.3">
      <c r="A19" s="18" t="s">
        <v>34</v>
      </c>
      <c r="B19" s="18" t="s">
        <v>35</v>
      </c>
      <c r="C19" s="18" t="s">
        <v>36</v>
      </c>
      <c r="D19" s="18">
        <v>6.407</v>
      </c>
    </row>
    <row r="20" spans="1:4" x14ac:dyDescent="0.3">
      <c r="A20" s="18" t="s">
        <v>37</v>
      </c>
      <c r="B20" s="18" t="s">
        <v>38</v>
      </c>
      <c r="C20" s="18" t="s">
        <v>39</v>
      </c>
      <c r="D20" s="18">
        <v>6.3970000000000002</v>
      </c>
    </row>
    <row r="21" spans="1:4" x14ac:dyDescent="0.3">
      <c r="A21" s="18" t="s">
        <v>40</v>
      </c>
      <c r="B21" s="18" t="s">
        <v>41</v>
      </c>
      <c r="C21" s="18" t="s">
        <v>42</v>
      </c>
      <c r="D21" s="18">
        <v>6.5350000000000001</v>
      </c>
    </row>
    <row r="22" spans="1:4" x14ac:dyDescent="0.3">
      <c r="A22" s="18" t="s">
        <v>43</v>
      </c>
      <c r="B22" s="18" t="s">
        <v>44</v>
      </c>
      <c r="C22" s="18" t="s">
        <v>45</v>
      </c>
      <c r="D22" s="18">
        <v>6.56</v>
      </c>
    </row>
    <row r="23" spans="1:4" x14ac:dyDescent="0.3">
      <c r="A23" s="18" t="s">
        <v>3</v>
      </c>
      <c r="B23" s="18" t="s">
        <v>46</v>
      </c>
      <c r="C23" s="18" t="s">
        <v>47</v>
      </c>
      <c r="D23" s="18">
        <v>6.5060000000000002</v>
      </c>
    </row>
    <row r="24" spans="1:4" x14ac:dyDescent="0.3">
      <c r="A24" s="18" t="s">
        <v>48</v>
      </c>
      <c r="B24" s="18" t="s">
        <v>49</v>
      </c>
      <c r="C24" s="18" t="s">
        <v>50</v>
      </c>
      <c r="D24" s="18">
        <v>6.7359999999999998</v>
      </c>
    </row>
    <row r="25" spans="1:4" x14ac:dyDescent="0.3">
      <c r="A25" s="18" t="s">
        <v>51</v>
      </c>
      <c r="B25" s="18" t="s">
        <v>52</v>
      </c>
      <c r="C25" s="18" t="s">
        <v>53</v>
      </c>
      <c r="D25" s="18">
        <v>6.7759999999999998</v>
      </c>
    </row>
    <row r="26" spans="1:4" x14ac:dyDescent="0.3">
      <c r="A26" s="18" t="s">
        <v>54</v>
      </c>
      <c r="B26" s="18" t="s">
        <v>55</v>
      </c>
      <c r="C26" s="18" t="s">
        <v>56</v>
      </c>
      <c r="D26" s="18">
        <v>6.8840000000000003</v>
      </c>
    </row>
    <row r="27" spans="1:4" x14ac:dyDescent="0.3">
      <c r="A27" s="18" t="s">
        <v>57</v>
      </c>
      <c r="B27" s="18" t="s">
        <v>58</v>
      </c>
      <c r="C27" s="18" t="s">
        <v>59</v>
      </c>
      <c r="D27" s="18">
        <v>6.8540000000000001</v>
      </c>
    </row>
  </sheetData>
  <mergeCells count="3">
    <mergeCell ref="E3:K7"/>
    <mergeCell ref="A9:D9"/>
    <mergeCell ref="A10:D10"/>
  </mergeCells>
  <hyperlinks>
    <hyperlink ref="A10" r:id="rId1" xr:uid="{00000000-0004-0000-0000-000000000000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6" style="11" customWidth="1"/>
    <col min="2" max="2" width="16" customWidth="1"/>
  </cols>
  <sheetData>
    <row r="1" spans="1:4" x14ac:dyDescent="0.3">
      <c r="A1" s="33" t="s">
        <v>60</v>
      </c>
      <c r="B1" s="34" t="s">
        <v>61</v>
      </c>
      <c r="D1" s="6" t="s">
        <v>62</v>
      </c>
    </row>
    <row r="2" spans="1:4" x14ac:dyDescent="0.3">
      <c r="A2" s="35">
        <f>Clean_NAV!E3</f>
        <v>43861</v>
      </c>
      <c r="B2" s="36">
        <f>Clean_NAV!F3</f>
        <v>40.256799999999998</v>
      </c>
      <c r="D2" t="s">
        <v>63</v>
      </c>
    </row>
    <row r="3" spans="1:4" x14ac:dyDescent="0.3">
      <c r="A3" s="35">
        <f>Clean_NAV!E4</f>
        <v>43890</v>
      </c>
      <c r="B3" s="36">
        <f>Clean_NAV!F4</f>
        <v>39.144399999999997</v>
      </c>
    </row>
    <row r="4" spans="1:4" x14ac:dyDescent="0.3">
      <c r="A4" s="35">
        <f>Clean_NAV!E5</f>
        <v>43921</v>
      </c>
      <c r="B4" s="36">
        <f>Clean_NAV!F5</f>
        <v>30.860800000000001</v>
      </c>
    </row>
    <row r="5" spans="1:4" x14ac:dyDescent="0.3">
      <c r="A5" s="35">
        <f>Clean_NAV!E6</f>
        <v>43951</v>
      </c>
      <c r="B5" s="36">
        <f>Clean_NAV!F6</f>
        <v>34.441099999999999</v>
      </c>
    </row>
    <row r="6" spans="1:4" x14ac:dyDescent="0.3">
      <c r="A6" s="35">
        <f>Clean_NAV!E7</f>
        <v>43982</v>
      </c>
      <c r="B6" s="36">
        <f>Clean_NAV!F7</f>
        <v>34.025500000000001</v>
      </c>
    </row>
    <row r="7" spans="1:4" x14ac:dyDescent="0.3">
      <c r="A7" s="35">
        <f>Clean_NAV!E8</f>
        <v>44012</v>
      </c>
      <c r="B7" s="36">
        <f>Clean_NAV!F8</f>
        <v>36.039200000000001</v>
      </c>
    </row>
    <row r="8" spans="1:4" x14ac:dyDescent="0.3">
      <c r="A8" s="35">
        <f>Clean_NAV!E9</f>
        <v>44043</v>
      </c>
      <c r="B8" s="36">
        <f>Clean_NAV!F9</f>
        <v>43.588099999999997</v>
      </c>
    </row>
    <row r="9" spans="1:4" x14ac:dyDescent="0.3">
      <c r="A9" s="35">
        <f>Clean_NAV!E10</f>
        <v>44074</v>
      </c>
      <c r="B9" s="36">
        <f>Clean_NAV!F10</f>
        <v>45.274900000000002</v>
      </c>
    </row>
    <row r="10" spans="1:4" x14ac:dyDescent="0.3">
      <c r="A10" s="35">
        <f>Clean_NAV!E11</f>
        <v>44104</v>
      </c>
      <c r="B10" s="36">
        <f>Clean_NAV!F11</f>
        <v>46.104900000000001</v>
      </c>
    </row>
    <row r="11" spans="1:4" x14ac:dyDescent="0.3">
      <c r="A11" s="35">
        <f>Clean_NAV!E12</f>
        <v>44135</v>
      </c>
      <c r="B11" s="36">
        <f>Clean_NAV!F12</f>
        <v>47.628300000000003</v>
      </c>
    </row>
    <row r="12" spans="1:4" x14ac:dyDescent="0.3">
      <c r="A12" s="35">
        <f>Clean_NAV!E13</f>
        <v>44165</v>
      </c>
      <c r="B12" s="36">
        <f>Clean_NAV!F13</f>
        <v>48.426900000000003</v>
      </c>
    </row>
    <row r="13" spans="1:4" x14ac:dyDescent="0.3">
      <c r="A13" s="35">
        <f>Clean_NAV!E14</f>
        <v>44196</v>
      </c>
      <c r="B13" s="36">
        <f>Clean_NAV!F14</f>
        <v>50.5929</v>
      </c>
    </row>
    <row r="14" spans="1:4" x14ac:dyDescent="0.3">
      <c r="A14" s="35">
        <f>Clean_NAV!E15</f>
        <v>44227</v>
      </c>
      <c r="B14" s="36">
        <f>Clean_NAV!F15</f>
        <v>49.9191</v>
      </c>
    </row>
    <row r="15" spans="1:4" x14ac:dyDescent="0.3">
      <c r="A15" s="35">
        <f>Clean_NAV!E16</f>
        <v>44255</v>
      </c>
      <c r="B15" s="36">
        <f>Clean_NAV!F16</f>
        <v>52.4131</v>
      </c>
    </row>
    <row r="16" spans="1:4" x14ac:dyDescent="0.3">
      <c r="A16" s="35">
        <f>Clean_NAV!E17</f>
        <v>44286</v>
      </c>
      <c r="B16" s="36">
        <f>Clean_NAV!F17</f>
        <v>54.206499999999998</v>
      </c>
    </row>
    <row r="17" spans="1:2" x14ac:dyDescent="0.3">
      <c r="A17" s="35">
        <f>Clean_NAV!E18</f>
        <v>44316</v>
      </c>
      <c r="B17" s="36">
        <f>Clean_NAV!F18</f>
        <v>61.483699999999999</v>
      </c>
    </row>
    <row r="18" spans="1:2" x14ac:dyDescent="0.3">
      <c r="A18" s="35">
        <f>Clean_NAV!E19</f>
        <v>44347</v>
      </c>
      <c r="B18" s="36">
        <f>Clean_NAV!F19</f>
        <v>68.411299999999997</v>
      </c>
    </row>
    <row r="19" spans="1:2" x14ac:dyDescent="0.3">
      <c r="A19" s="35">
        <f>Clean_NAV!E20</f>
        <v>44377</v>
      </c>
      <c r="B19" s="36">
        <f>Clean_NAV!F20</f>
        <v>70.886300000000006</v>
      </c>
    </row>
    <row r="20" spans="1:2" x14ac:dyDescent="0.3">
      <c r="A20" s="35">
        <f>Clean_NAV!E21</f>
        <v>44408</v>
      </c>
      <c r="B20" s="36">
        <f>Clean_NAV!F21</f>
        <v>74.050399999999996</v>
      </c>
    </row>
    <row r="21" spans="1:2" x14ac:dyDescent="0.3">
      <c r="A21" s="35">
        <f>Clean_NAV!E22</f>
        <v>44439</v>
      </c>
      <c r="B21" s="36">
        <f>Clean_NAV!F22</f>
        <v>72.046899999999994</v>
      </c>
    </row>
    <row r="22" spans="1:2" x14ac:dyDescent="0.3">
      <c r="A22" s="35">
        <f>Clean_NAV!E23</f>
        <v>44469</v>
      </c>
      <c r="B22" s="36">
        <f>Clean_NAV!F23</f>
        <v>74.577699999999993</v>
      </c>
    </row>
    <row r="23" spans="1:2" x14ac:dyDescent="0.3">
      <c r="A23" s="35">
        <f>Clean_NAV!E24</f>
        <v>44500</v>
      </c>
      <c r="B23" s="36">
        <f>Clean_NAV!F24</f>
        <v>76.333299999999994</v>
      </c>
    </row>
    <row r="24" spans="1:2" x14ac:dyDescent="0.3">
      <c r="A24" s="35">
        <f>Clean_NAV!E25</f>
        <v>44530</v>
      </c>
      <c r="B24" s="36">
        <f>Clean_NAV!F25</f>
        <v>76.696399999999997</v>
      </c>
    </row>
    <row r="25" spans="1:2" x14ac:dyDescent="0.3">
      <c r="A25" s="35">
        <f>Clean_NAV!E26</f>
        <v>44561</v>
      </c>
      <c r="B25" s="36">
        <f>Clean_NAV!F26</f>
        <v>79.413300000000007</v>
      </c>
    </row>
    <row r="26" spans="1:2" x14ac:dyDescent="0.3">
      <c r="A26" s="35">
        <f>Clean_NAV!E27</f>
        <v>44592</v>
      </c>
      <c r="B26" s="36">
        <f>Clean_NAV!F27</f>
        <v>81.138000000000005</v>
      </c>
    </row>
    <row r="27" spans="1:2" x14ac:dyDescent="0.3">
      <c r="A27" s="35">
        <f>Clean_NAV!E28</f>
        <v>44620</v>
      </c>
      <c r="B27" s="36">
        <f>Clean_NAV!F28</f>
        <v>76.705600000000004</v>
      </c>
    </row>
    <row r="28" spans="1:2" x14ac:dyDescent="0.3">
      <c r="A28" s="35">
        <f>Clean_NAV!E29</f>
        <v>44651</v>
      </c>
      <c r="B28" s="36">
        <f>Clean_NAV!F29</f>
        <v>82.869900000000001</v>
      </c>
    </row>
    <row r="29" spans="1:2" x14ac:dyDescent="0.3">
      <c r="A29" s="35">
        <f>Clean_NAV!E30</f>
        <v>44681</v>
      </c>
      <c r="B29" s="36">
        <f>Clean_NAV!F30</f>
        <v>85.196399999999997</v>
      </c>
    </row>
    <row r="30" spans="1:2" x14ac:dyDescent="0.3">
      <c r="A30" s="35">
        <f>Clean_NAV!E31</f>
        <v>44712</v>
      </c>
      <c r="B30" s="36">
        <f>Clean_NAV!F31</f>
        <v>79.678100000000001</v>
      </c>
    </row>
    <row r="31" spans="1:2" x14ac:dyDescent="0.3">
      <c r="A31" s="35">
        <f>Clean_NAV!E32</f>
        <v>44742</v>
      </c>
      <c r="B31" s="36">
        <f>Clean_NAV!F32</f>
        <v>75.992999999999995</v>
      </c>
    </row>
    <row r="32" spans="1:2" x14ac:dyDescent="0.3">
      <c r="A32" s="35">
        <f>Clean_NAV!E33</f>
        <v>44773</v>
      </c>
      <c r="B32" s="36">
        <f>Clean_NAV!F33</f>
        <v>81.361500000000007</v>
      </c>
    </row>
    <row r="33" spans="1:2" x14ac:dyDescent="0.3">
      <c r="A33" s="35">
        <f>Clean_NAV!E34</f>
        <v>44804</v>
      </c>
      <c r="B33" s="36">
        <f>Clean_NAV!F34</f>
        <v>85.380099999999999</v>
      </c>
    </row>
    <row r="34" spans="1:2" x14ac:dyDescent="0.3">
      <c r="A34" s="35">
        <f>Clean_NAV!E35</f>
        <v>44834</v>
      </c>
      <c r="B34" s="36">
        <f>Clean_NAV!F35</f>
        <v>86.575800000000001</v>
      </c>
    </row>
    <row r="35" spans="1:2" x14ac:dyDescent="0.3">
      <c r="A35" s="35">
        <f>Clean_NAV!E36</f>
        <v>44865</v>
      </c>
      <c r="B35" s="36">
        <f>Clean_NAV!F36</f>
        <v>88.990099999999998</v>
      </c>
    </row>
    <row r="36" spans="1:2" x14ac:dyDescent="0.3">
      <c r="A36" s="35">
        <f>Clean_NAV!E37</f>
        <v>44895</v>
      </c>
      <c r="B36" s="36">
        <f>Clean_NAV!F37</f>
        <v>91.430599999999998</v>
      </c>
    </row>
    <row r="37" spans="1:2" x14ac:dyDescent="0.3">
      <c r="A37" s="35">
        <f>Clean_NAV!E38</f>
        <v>44926</v>
      </c>
      <c r="B37" s="36">
        <f>Clean_NAV!F38</f>
        <v>91.551299999999998</v>
      </c>
    </row>
    <row r="38" spans="1:2" x14ac:dyDescent="0.3">
      <c r="A38" s="35">
        <f>Clean_NAV!E39</f>
        <v>44957</v>
      </c>
      <c r="B38" s="36">
        <f>Clean_NAV!F39</f>
        <v>90.233000000000004</v>
      </c>
    </row>
    <row r="39" spans="1:2" x14ac:dyDescent="0.3">
      <c r="A39" s="35">
        <f>Clean_NAV!E40</f>
        <v>44985</v>
      </c>
      <c r="B39" s="36">
        <f>Clean_NAV!F40</f>
        <v>87.061700000000002</v>
      </c>
    </row>
    <row r="40" spans="1:2" x14ac:dyDescent="0.3">
      <c r="A40" s="35">
        <f>Clean_NAV!E41</f>
        <v>45016</v>
      </c>
      <c r="B40" s="36">
        <f>Clean_NAV!F41</f>
        <v>88.200500000000005</v>
      </c>
    </row>
    <row r="41" spans="1:2" x14ac:dyDescent="0.3">
      <c r="A41" s="35">
        <f>Clean_NAV!E42</f>
        <v>45046</v>
      </c>
      <c r="B41" s="36">
        <f>Clean_NAV!F42</f>
        <v>91.859499999999997</v>
      </c>
    </row>
    <row r="42" spans="1:2" x14ac:dyDescent="0.3">
      <c r="A42" s="35">
        <f>Clean_NAV!E43</f>
        <v>45077</v>
      </c>
      <c r="B42" s="36">
        <f>Clean_NAV!F43</f>
        <v>91.222099999999998</v>
      </c>
    </row>
    <row r="43" spans="1:2" x14ac:dyDescent="0.3">
      <c r="A43" s="35">
        <f>Clean_NAV!E44</f>
        <v>45107</v>
      </c>
      <c r="B43" s="36">
        <f>Clean_NAV!F44</f>
        <v>94.628799999999998</v>
      </c>
    </row>
    <row r="44" spans="1:2" x14ac:dyDescent="0.3">
      <c r="A44" s="35">
        <f>Clean_NAV!E45</f>
        <v>45138</v>
      </c>
      <c r="B44" s="36">
        <f>Clean_NAV!F45</f>
        <v>99.491399999999999</v>
      </c>
    </row>
    <row r="45" spans="1:2" x14ac:dyDescent="0.3">
      <c r="A45" s="35">
        <f>Clean_NAV!E46</f>
        <v>45169</v>
      </c>
      <c r="B45" s="36">
        <f>Clean_NAV!F46</f>
        <v>98.432000000000002</v>
      </c>
    </row>
    <row r="46" spans="1:2" x14ac:dyDescent="0.3">
      <c r="A46" s="35">
        <f>Clean_NAV!E47</f>
        <v>45199</v>
      </c>
      <c r="B46" s="36">
        <f>Clean_NAV!F47</f>
        <v>99.126499999999993</v>
      </c>
    </row>
    <row r="47" spans="1:2" x14ac:dyDescent="0.3">
      <c r="A47" s="35">
        <f>Clean_NAV!E48</f>
        <v>45230</v>
      </c>
      <c r="B47" s="36">
        <f>Clean_NAV!F48</f>
        <v>98.960999999999999</v>
      </c>
    </row>
    <row r="48" spans="1:2" x14ac:dyDescent="0.3">
      <c r="A48" s="35">
        <f>Clean_NAV!E49</f>
        <v>45260</v>
      </c>
      <c r="B48" s="36">
        <f>Clean_NAV!F49</f>
        <v>105.9502</v>
      </c>
    </row>
    <row r="49" spans="1:2" x14ac:dyDescent="0.3">
      <c r="A49" s="35">
        <f>Clean_NAV!E50</f>
        <v>45291</v>
      </c>
      <c r="B49" s="36">
        <f>Clean_NAV!F50</f>
        <v>113.3913</v>
      </c>
    </row>
    <row r="50" spans="1:2" x14ac:dyDescent="0.3">
      <c r="A50" s="35">
        <f>Clean_NAV!E51</f>
        <v>45322</v>
      </c>
      <c r="B50" s="36">
        <f>Clean_NAV!F51</f>
        <v>120.5412</v>
      </c>
    </row>
    <row r="51" spans="1:2" x14ac:dyDescent="0.3">
      <c r="A51" s="35">
        <f>Clean_NAV!E52</f>
        <v>45351</v>
      </c>
      <c r="B51" s="36">
        <f>Clean_NAV!F52</f>
        <v>126.8509</v>
      </c>
    </row>
    <row r="52" spans="1:2" x14ac:dyDescent="0.3">
      <c r="A52" s="35">
        <f>Clean_NAV!E53</f>
        <v>45382</v>
      </c>
      <c r="B52" s="36">
        <f>Clean_NAV!F53</f>
        <v>128.4136</v>
      </c>
    </row>
    <row r="53" spans="1:2" x14ac:dyDescent="0.3">
      <c r="A53" s="35">
        <f>Clean_NAV!E54</f>
        <v>45412</v>
      </c>
      <c r="B53" s="36">
        <f>Clean_NAV!F54</f>
        <v>136.8339</v>
      </c>
    </row>
    <row r="54" spans="1:2" x14ac:dyDescent="0.3">
      <c r="A54" s="35">
        <f>Clean_NAV!E55</f>
        <v>45443</v>
      </c>
      <c r="B54" s="36">
        <f>Clean_NAV!F55</f>
        <v>138.8331</v>
      </c>
    </row>
    <row r="55" spans="1:2" x14ac:dyDescent="0.3">
      <c r="A55" s="35">
        <f>Clean_NAV!E56</f>
        <v>45473</v>
      </c>
      <c r="B55" s="36">
        <f>Clean_NAV!F56</f>
        <v>140.9376</v>
      </c>
    </row>
    <row r="56" spans="1:2" x14ac:dyDescent="0.3">
      <c r="A56" s="35">
        <f>Clean_NAV!E57</f>
        <v>45504</v>
      </c>
      <c r="B56" s="36">
        <f>Clean_NAV!F57</f>
        <v>142.17070000000001</v>
      </c>
    </row>
    <row r="57" spans="1:2" x14ac:dyDescent="0.3">
      <c r="A57" s="35">
        <f>Clean_NAV!E58</f>
        <v>45535</v>
      </c>
      <c r="B57" s="36">
        <f>Clean_NAV!F58</f>
        <v>141.3777</v>
      </c>
    </row>
    <row r="58" spans="1:2" x14ac:dyDescent="0.3">
      <c r="A58" s="35">
        <f>Clean_NAV!E59</f>
        <v>45565</v>
      </c>
      <c r="B58" s="36">
        <f>Clean_NAV!F59</f>
        <v>149.45050000000001</v>
      </c>
    </row>
    <row r="59" spans="1:2" x14ac:dyDescent="0.3">
      <c r="A59" s="35">
        <f>Clean_NAV!E60</f>
        <v>45596</v>
      </c>
      <c r="B59" s="36">
        <f>Clean_NAV!F60</f>
        <v>145.16499999999999</v>
      </c>
    </row>
    <row r="60" spans="1:2" x14ac:dyDescent="0.3">
      <c r="A60" s="35">
        <f>Clean_NAV!E61</f>
        <v>45626</v>
      </c>
      <c r="B60" s="36">
        <f>Clean_NAV!F61</f>
        <v>146.48949999999999</v>
      </c>
    </row>
    <row r="61" spans="1:2" x14ac:dyDescent="0.3">
      <c r="A61" s="35">
        <f>Clean_NAV!E62</f>
        <v>45657</v>
      </c>
      <c r="B61" s="36">
        <f>Clean_NAV!F62</f>
        <v>144.6593</v>
      </c>
    </row>
    <row r="62" spans="1:2" x14ac:dyDescent="0.3">
      <c r="A62" s="35">
        <f>Clean_NAV!E63</f>
        <v>45688</v>
      </c>
      <c r="B62" s="36">
        <f>Clean_NAV!F63</f>
        <v>139.68299999999999</v>
      </c>
    </row>
    <row r="63" spans="1:2" x14ac:dyDescent="0.3">
      <c r="A63" s="35">
        <f>Clean_NAV!E64</f>
        <v>45716</v>
      </c>
      <c r="B63" s="36">
        <f>Clean_NAV!F64</f>
        <v>131.92850000000001</v>
      </c>
    </row>
    <row r="64" spans="1:2" x14ac:dyDescent="0.3">
      <c r="A64" s="35">
        <f>Clean_NAV!E65</f>
        <v>45747</v>
      </c>
      <c r="B64" s="36">
        <f>Clean_NAV!F65</f>
        <v>139.79820000000001</v>
      </c>
    </row>
    <row r="65" spans="1:2" x14ac:dyDescent="0.3">
      <c r="A65" s="35">
        <f>Clean_NAV!E66</f>
        <v>45777</v>
      </c>
      <c r="B65" s="36">
        <f>Clean_NAV!F66</f>
        <v>143.3409</v>
      </c>
    </row>
    <row r="66" spans="1:2" x14ac:dyDescent="0.3">
      <c r="A66" s="35">
        <f>Clean_NAV!E67</f>
        <v>45808</v>
      </c>
      <c r="B66" s="36">
        <f>Clean_NAV!F67</f>
        <v>149.3261</v>
      </c>
    </row>
    <row r="67" spans="1:2" x14ac:dyDescent="0.3">
      <c r="A67" s="35">
        <f>Clean_NAV!E68</f>
        <v>45838</v>
      </c>
      <c r="B67" s="36">
        <f>Clean_NAV!F68</f>
        <v>153.0351</v>
      </c>
    </row>
    <row r="68" spans="1:2" x14ac:dyDescent="0.3">
      <c r="A68" s="35">
        <f>Clean_NAV!E69</f>
        <v>45869</v>
      </c>
      <c r="B68" s="36">
        <f>Clean_NAV!F69</f>
        <v>151.7141</v>
      </c>
    </row>
    <row r="69" spans="1:2" x14ac:dyDescent="0.3">
      <c r="A69" s="35">
        <f>Clean_NAV!E70</f>
        <v>45900</v>
      </c>
      <c r="B69" s="36">
        <f>Clean_NAV!F70</f>
        <v>150.69710000000001</v>
      </c>
    </row>
    <row r="70" spans="1:2" x14ac:dyDescent="0.3">
      <c r="A70" s="35">
        <f>Clean_NAV!E71</f>
        <v>45930</v>
      </c>
      <c r="B70" s="36">
        <f>Clean_NAV!F71</f>
        <v>156.14330000000001</v>
      </c>
    </row>
    <row r="71" spans="1:2" x14ac:dyDescent="0.3">
      <c r="A71" s="35">
        <f>Clean_NAV!E72</f>
        <v>45961</v>
      </c>
      <c r="B71" s="36">
        <f>Clean_NAV!F72</f>
        <v>162.8732</v>
      </c>
    </row>
    <row r="72" spans="1:2" x14ac:dyDescent="0.3">
      <c r="A72" s="37">
        <f>Clean_NAV!E73</f>
        <v>45972</v>
      </c>
      <c r="B72" s="38">
        <f>Clean_NAV!F73</f>
        <v>163.46700000000001</v>
      </c>
    </row>
  </sheetData>
  <hyperlinks>
    <hyperlink ref="D1" r:id="rId1" xr:uid="{00000000-0004-0000-0100-000000000000}"/>
  </hyperlinks>
  <pageMargins left="0.75" right="0.75" top="1" bottom="1" header="0.5" footer="0.5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"/>
  <sheetViews>
    <sheetView workbookViewId="0">
      <pane ySplit="1" topLeftCell="A2" activePane="bottomLeft" state="frozen"/>
      <selection pane="bottomLeft" activeCell="O12" sqref="O12"/>
    </sheetView>
  </sheetViews>
  <sheetFormatPr defaultRowHeight="14.4" x14ac:dyDescent="0.3"/>
  <cols>
    <col min="1" max="1" width="16" customWidth="1"/>
    <col min="2" max="2" width="18" customWidth="1"/>
  </cols>
  <sheetData>
    <row r="1" spans="1:2" x14ac:dyDescent="0.3">
      <c r="A1" s="39" t="s">
        <v>60</v>
      </c>
      <c r="B1" s="34" t="s">
        <v>64</v>
      </c>
    </row>
    <row r="2" spans="1:2" x14ac:dyDescent="0.3">
      <c r="A2" s="35">
        <f>Clean_Benchmark!D2</f>
        <v>43861</v>
      </c>
      <c r="B2" s="40">
        <f>Clean_Benchmark!E2</f>
        <v>14804.57</v>
      </c>
    </row>
    <row r="3" spans="1:2" x14ac:dyDescent="0.3">
      <c r="A3" s="35">
        <f>Clean_Benchmark!D3</f>
        <v>43890</v>
      </c>
      <c r="B3" s="40">
        <f>Clean_Benchmark!E3</f>
        <v>13875.34</v>
      </c>
    </row>
    <row r="4" spans="1:2" x14ac:dyDescent="0.3">
      <c r="A4" s="35">
        <f>Clean_Benchmark!D4</f>
        <v>43921</v>
      </c>
      <c r="B4" s="40">
        <f>Clean_Benchmark!E4</f>
        <v>10167.459999999999</v>
      </c>
    </row>
    <row r="5" spans="1:2" x14ac:dyDescent="0.3">
      <c r="A5" s="35">
        <f>Clean_Benchmark!D5</f>
        <v>43951</v>
      </c>
      <c r="B5" s="40">
        <f>Clean_Benchmark!E5</f>
        <v>12072.43</v>
      </c>
    </row>
    <row r="6" spans="1:2" x14ac:dyDescent="0.3">
      <c r="A6" s="35">
        <f>Clean_Benchmark!D6</f>
        <v>43982</v>
      </c>
      <c r="B6" s="40">
        <f>Clean_Benchmark!E6</f>
        <v>11793.53</v>
      </c>
    </row>
    <row r="7" spans="1:2" x14ac:dyDescent="0.3">
      <c r="A7" s="35">
        <f>Clean_Benchmark!D7</f>
        <v>44012</v>
      </c>
      <c r="B7" s="40">
        <f>Clean_Benchmark!E7</f>
        <v>12783.45</v>
      </c>
    </row>
    <row r="8" spans="1:2" x14ac:dyDescent="0.3">
      <c r="A8" s="35">
        <f>Clean_Benchmark!D8</f>
        <v>44043</v>
      </c>
      <c r="B8" s="40">
        <f>Clean_Benchmark!E8</f>
        <v>13654.79</v>
      </c>
    </row>
    <row r="9" spans="1:2" x14ac:dyDescent="0.3">
      <c r="A9" s="35">
        <f>Clean_Benchmark!D9</f>
        <v>44074</v>
      </c>
      <c r="B9" s="40">
        <f>Clean_Benchmark!E9</f>
        <v>14179.34</v>
      </c>
    </row>
    <row r="10" spans="1:2" x14ac:dyDescent="0.3">
      <c r="A10" s="35">
        <f>Clean_Benchmark!D10</f>
        <v>44104</v>
      </c>
      <c r="B10" s="40">
        <f>Clean_Benchmark!E10</f>
        <v>14139.78</v>
      </c>
    </row>
    <row r="11" spans="1:2" x14ac:dyDescent="0.3">
      <c r="A11" s="35">
        <f>Clean_Benchmark!D11</f>
        <v>44135</v>
      </c>
      <c r="B11" s="40">
        <f>Clean_Benchmark!E11</f>
        <v>14521.56</v>
      </c>
    </row>
    <row r="12" spans="1:2" x14ac:dyDescent="0.3">
      <c r="A12" s="35">
        <f>Clean_Benchmark!D12</f>
        <v>44165</v>
      </c>
      <c r="B12" s="40">
        <f>Clean_Benchmark!E12</f>
        <v>16255.62</v>
      </c>
    </row>
    <row r="13" spans="1:2" x14ac:dyDescent="0.3">
      <c r="A13" s="35">
        <f>Clean_Benchmark!D13</f>
        <v>44196</v>
      </c>
      <c r="B13" s="40">
        <f>Clean_Benchmark!E13</f>
        <v>17470.79</v>
      </c>
    </row>
    <row r="14" spans="1:2" x14ac:dyDescent="0.3">
      <c r="A14" s="35">
        <f>Clean_Benchmark!D14</f>
        <v>44227</v>
      </c>
      <c r="B14" s="40">
        <f>Clean_Benchmark!E14</f>
        <v>17147.27</v>
      </c>
    </row>
    <row r="15" spans="1:2" x14ac:dyDescent="0.3">
      <c r="A15" s="35">
        <f>Clean_Benchmark!D15</f>
        <v>44255</v>
      </c>
      <c r="B15" s="40">
        <f>Clean_Benchmark!E15</f>
        <v>18504.86</v>
      </c>
    </row>
    <row r="16" spans="1:2" x14ac:dyDescent="0.3">
      <c r="A16" s="35">
        <f>Clean_Benchmark!D16</f>
        <v>44286</v>
      </c>
      <c r="B16" s="40">
        <f>Clean_Benchmark!E16</f>
        <v>18717.240000000002</v>
      </c>
    </row>
    <row r="17" spans="1:2" x14ac:dyDescent="0.3">
      <c r="A17" s="35">
        <f>Clean_Benchmark!D17</f>
        <v>44316</v>
      </c>
      <c r="B17" s="40">
        <f>Clean_Benchmark!E17</f>
        <v>18802.03</v>
      </c>
    </row>
    <row r="18" spans="1:2" x14ac:dyDescent="0.3">
      <c r="A18" s="35">
        <f>Clean_Benchmark!D18</f>
        <v>44347</v>
      </c>
      <c r="B18" s="40">
        <f>Clean_Benchmark!E18</f>
        <v>20138.099999999999</v>
      </c>
    </row>
    <row r="19" spans="1:2" x14ac:dyDescent="0.3">
      <c r="A19" s="35">
        <f>Clean_Benchmark!D19</f>
        <v>44377</v>
      </c>
      <c r="B19" s="40">
        <f>Clean_Benchmark!E19</f>
        <v>20552.2</v>
      </c>
    </row>
    <row r="20" spans="1:2" x14ac:dyDescent="0.3">
      <c r="A20" s="35">
        <f>Clean_Benchmark!D20</f>
        <v>44408</v>
      </c>
      <c r="B20" s="40">
        <f>Clean_Benchmark!E20</f>
        <v>20876.599999999999</v>
      </c>
    </row>
    <row r="21" spans="1:2" x14ac:dyDescent="0.3">
      <c r="A21" s="35">
        <f>Clean_Benchmark!D21</f>
        <v>44439</v>
      </c>
      <c r="B21" s="40">
        <f>Clean_Benchmark!E21</f>
        <v>22253.61</v>
      </c>
    </row>
    <row r="22" spans="1:2" x14ac:dyDescent="0.3">
      <c r="A22" s="35">
        <f>Clean_Benchmark!D22</f>
        <v>44469</v>
      </c>
      <c r="B22" s="40">
        <f>Clean_Benchmark!E22</f>
        <v>23029.08</v>
      </c>
    </row>
    <row r="23" spans="1:2" x14ac:dyDescent="0.3">
      <c r="A23" s="35">
        <f>Clean_Benchmark!D23</f>
        <v>44500</v>
      </c>
      <c r="B23" s="40">
        <f>Clean_Benchmark!E23</f>
        <v>23100.97</v>
      </c>
    </row>
    <row r="24" spans="1:2" x14ac:dyDescent="0.3">
      <c r="A24" s="35">
        <f>Clean_Benchmark!D24</f>
        <v>44530</v>
      </c>
      <c r="B24" s="40">
        <f>Clean_Benchmark!E24</f>
        <v>22447.74</v>
      </c>
    </row>
    <row r="25" spans="1:2" x14ac:dyDescent="0.3">
      <c r="A25" s="35">
        <f>Clean_Benchmark!D25</f>
        <v>44561</v>
      </c>
      <c r="B25" s="40">
        <f>Clean_Benchmark!E25</f>
        <v>22990.880000000001</v>
      </c>
    </row>
    <row r="26" spans="1:2" x14ac:dyDescent="0.3">
      <c r="A26" s="35">
        <f>Clean_Benchmark!D26</f>
        <v>44592</v>
      </c>
      <c r="B26" s="40">
        <f>Clean_Benchmark!E26</f>
        <v>22881.58</v>
      </c>
    </row>
    <row r="27" spans="1:2" x14ac:dyDescent="0.3">
      <c r="A27" s="35">
        <f>Clean_Benchmark!D27</f>
        <v>44620</v>
      </c>
      <c r="B27" s="40">
        <f>Clean_Benchmark!E27</f>
        <v>21978.65</v>
      </c>
    </row>
    <row r="28" spans="1:2" x14ac:dyDescent="0.3">
      <c r="A28" s="35">
        <f>Clean_Benchmark!D28</f>
        <v>44651</v>
      </c>
      <c r="B28" s="40">
        <f>Clean_Benchmark!E28</f>
        <v>22889.14</v>
      </c>
    </row>
    <row r="29" spans="1:2" x14ac:dyDescent="0.3">
      <c r="A29" s="35">
        <f>Clean_Benchmark!D29</f>
        <v>44681</v>
      </c>
      <c r="B29" s="40">
        <f>Clean_Benchmark!E29</f>
        <v>22726.01</v>
      </c>
    </row>
    <row r="30" spans="1:2" x14ac:dyDescent="0.3">
      <c r="A30" s="35">
        <f>Clean_Benchmark!D30</f>
        <v>44712</v>
      </c>
      <c r="B30" s="40">
        <f>Clean_Benchmark!E30</f>
        <v>21765.82</v>
      </c>
    </row>
    <row r="31" spans="1:2" x14ac:dyDescent="0.3">
      <c r="A31" s="35">
        <f>Clean_Benchmark!D31</f>
        <v>44742</v>
      </c>
      <c r="B31" s="40">
        <f>Clean_Benchmark!E31</f>
        <v>20667.27</v>
      </c>
    </row>
    <row r="32" spans="1:2" x14ac:dyDescent="0.3">
      <c r="A32" s="35">
        <f>Clean_Benchmark!D32</f>
        <v>44773</v>
      </c>
      <c r="B32" s="40">
        <f>Clean_Benchmark!E32</f>
        <v>22678.29</v>
      </c>
    </row>
    <row r="33" spans="1:2" x14ac:dyDescent="0.3">
      <c r="A33" s="35">
        <f>Clean_Benchmark!D33</f>
        <v>44804</v>
      </c>
      <c r="B33" s="40">
        <f>Clean_Benchmark!E33</f>
        <v>23740.37</v>
      </c>
    </row>
    <row r="34" spans="1:2" x14ac:dyDescent="0.3">
      <c r="A34" s="35">
        <f>Clean_Benchmark!D34</f>
        <v>44834</v>
      </c>
      <c r="B34" s="40">
        <f>Clean_Benchmark!E34</f>
        <v>22979.45</v>
      </c>
    </row>
    <row r="35" spans="1:2" x14ac:dyDescent="0.3">
      <c r="A35" s="35">
        <f>Clean_Benchmark!D35</f>
        <v>44865</v>
      </c>
      <c r="B35" s="40">
        <f>Clean_Benchmark!E35</f>
        <v>23919.759999999998</v>
      </c>
    </row>
    <row r="36" spans="1:2" x14ac:dyDescent="0.3">
      <c r="A36" s="35">
        <f>Clean_Benchmark!D36</f>
        <v>44895</v>
      </c>
      <c r="B36" s="40">
        <f>Clean_Benchmark!E36</f>
        <v>24738.49</v>
      </c>
    </row>
    <row r="37" spans="1:2" x14ac:dyDescent="0.3">
      <c r="A37" s="35">
        <f>Clean_Benchmark!D37</f>
        <v>44926</v>
      </c>
      <c r="B37" s="40">
        <f>Clean_Benchmark!E37</f>
        <v>23967.119999999999</v>
      </c>
    </row>
    <row r="38" spans="1:2" x14ac:dyDescent="0.3">
      <c r="A38" s="35">
        <f>Clean_Benchmark!D38</f>
        <v>44957</v>
      </c>
      <c r="B38" s="40">
        <f>Clean_Benchmark!E38</f>
        <v>23175.05</v>
      </c>
    </row>
    <row r="39" spans="1:2" x14ac:dyDescent="0.3">
      <c r="A39" s="35">
        <f>Clean_Benchmark!D39</f>
        <v>44985</v>
      </c>
      <c r="B39" s="40">
        <f>Clean_Benchmark!E39</f>
        <v>22546.35</v>
      </c>
    </row>
    <row r="40" spans="1:2" x14ac:dyDescent="0.3">
      <c r="A40" s="35">
        <f>Clean_Benchmark!D40</f>
        <v>45016</v>
      </c>
      <c r="B40" s="40">
        <f>Clean_Benchmark!E40</f>
        <v>22609.54</v>
      </c>
    </row>
    <row r="41" spans="1:2" x14ac:dyDescent="0.3">
      <c r="A41" s="35">
        <f>Clean_Benchmark!D41</f>
        <v>45046</v>
      </c>
      <c r="B41" s="40">
        <f>Clean_Benchmark!E41</f>
        <v>23643.94</v>
      </c>
    </row>
    <row r="42" spans="1:2" x14ac:dyDescent="0.3">
      <c r="A42" s="35">
        <f>Clean_Benchmark!D42</f>
        <v>45077</v>
      </c>
      <c r="B42" s="40">
        <f>Clean_Benchmark!E42</f>
        <v>24538.09</v>
      </c>
    </row>
    <row r="43" spans="1:2" x14ac:dyDescent="0.3">
      <c r="A43" s="35">
        <f>Clean_Benchmark!D43</f>
        <v>45107</v>
      </c>
      <c r="B43" s="40">
        <f>Clean_Benchmark!E43</f>
        <v>25605.81</v>
      </c>
    </row>
    <row r="44" spans="1:2" x14ac:dyDescent="0.3">
      <c r="A44" s="35">
        <f>Clean_Benchmark!D44</f>
        <v>45138</v>
      </c>
      <c r="B44" s="40">
        <f>Clean_Benchmark!E44</f>
        <v>26612.52</v>
      </c>
    </row>
    <row r="45" spans="1:2" x14ac:dyDescent="0.3">
      <c r="A45" s="35">
        <f>Clean_Benchmark!D45</f>
        <v>45169</v>
      </c>
      <c r="B45" s="40">
        <f>Clean_Benchmark!E45</f>
        <v>26451.77</v>
      </c>
    </row>
    <row r="46" spans="1:2" x14ac:dyDescent="0.3">
      <c r="A46" s="35">
        <f>Clean_Benchmark!D46</f>
        <v>45199</v>
      </c>
      <c r="B46" s="40">
        <f>Clean_Benchmark!E46</f>
        <v>27031.74</v>
      </c>
    </row>
    <row r="47" spans="1:2" x14ac:dyDescent="0.3">
      <c r="A47" s="35">
        <f>Clean_Benchmark!D47</f>
        <v>45230</v>
      </c>
      <c r="B47" s="40">
        <f>Clean_Benchmark!E47</f>
        <v>26281.759999999998</v>
      </c>
    </row>
    <row r="48" spans="1:2" x14ac:dyDescent="0.3">
      <c r="A48" s="35">
        <f>Clean_Benchmark!D48</f>
        <v>45260</v>
      </c>
      <c r="B48" s="40">
        <f>Clean_Benchmark!E48</f>
        <v>28161.16</v>
      </c>
    </row>
    <row r="49" spans="1:2" x14ac:dyDescent="0.3">
      <c r="A49" s="35">
        <f>Clean_Benchmark!D49</f>
        <v>45291</v>
      </c>
      <c r="B49" s="40">
        <f>Clean_Benchmark!E49</f>
        <v>30417.8</v>
      </c>
    </row>
    <row r="50" spans="1:2" x14ac:dyDescent="0.3">
      <c r="A50" s="35">
        <f>Clean_Benchmark!D50</f>
        <v>45322</v>
      </c>
      <c r="B50" s="40">
        <f>Clean_Benchmark!E50</f>
        <v>31011.17</v>
      </c>
    </row>
    <row r="51" spans="1:2" x14ac:dyDescent="0.3">
      <c r="A51" s="35">
        <f>Clean_Benchmark!D51</f>
        <v>45351</v>
      </c>
      <c r="B51" s="40">
        <f>Clean_Benchmark!E51</f>
        <v>31499.31</v>
      </c>
    </row>
    <row r="52" spans="1:2" x14ac:dyDescent="0.3">
      <c r="A52" s="35">
        <f>Clean_Benchmark!D52</f>
        <v>45382</v>
      </c>
      <c r="B52" s="40">
        <f>Clean_Benchmark!E52</f>
        <v>31499.32</v>
      </c>
    </row>
    <row r="53" spans="1:2" x14ac:dyDescent="0.3">
      <c r="A53" s="35">
        <f>Clean_Benchmark!D53</f>
        <v>45412</v>
      </c>
      <c r="B53" s="40">
        <f>Clean_Benchmark!E53</f>
        <v>32927.379999999997</v>
      </c>
    </row>
    <row r="54" spans="1:2" x14ac:dyDescent="0.3">
      <c r="A54" s="35">
        <f>Clean_Benchmark!D54</f>
        <v>45443</v>
      </c>
      <c r="B54" s="40">
        <f>Clean_Benchmark!E54</f>
        <v>33168.199999999997</v>
      </c>
    </row>
    <row r="55" spans="1:2" x14ac:dyDescent="0.3">
      <c r="A55" s="35">
        <f>Clean_Benchmark!D55</f>
        <v>45473</v>
      </c>
      <c r="B55" s="40">
        <f>Clean_Benchmark!E55</f>
        <v>35506.97</v>
      </c>
    </row>
    <row r="56" spans="1:2" x14ac:dyDescent="0.3">
      <c r="A56" s="35">
        <f>Clean_Benchmark!D56</f>
        <v>45504</v>
      </c>
      <c r="B56" s="40">
        <f>Clean_Benchmark!E56</f>
        <v>37066.080000000002</v>
      </c>
    </row>
    <row r="57" spans="1:2" x14ac:dyDescent="0.3">
      <c r="A57" s="35">
        <f>Clean_Benchmark!D57</f>
        <v>45535</v>
      </c>
      <c r="B57" s="40">
        <f>Clean_Benchmark!E57</f>
        <v>37449.919999999998</v>
      </c>
    </row>
    <row r="58" spans="1:2" x14ac:dyDescent="0.3">
      <c r="A58" s="35">
        <f>Clean_Benchmark!D58</f>
        <v>45565</v>
      </c>
      <c r="B58" s="40">
        <f>Clean_Benchmark!E58</f>
        <v>38261.39</v>
      </c>
    </row>
    <row r="59" spans="1:2" x14ac:dyDescent="0.3">
      <c r="A59" s="35">
        <f>Clean_Benchmark!D59</f>
        <v>45596</v>
      </c>
      <c r="B59" s="40">
        <f>Clean_Benchmark!E59</f>
        <v>35830.980000000003</v>
      </c>
    </row>
    <row r="60" spans="1:2" x14ac:dyDescent="0.3">
      <c r="A60" s="35">
        <f>Clean_Benchmark!D60</f>
        <v>45626</v>
      </c>
      <c r="B60" s="40">
        <f>Clean_Benchmark!E60</f>
        <v>35847.4</v>
      </c>
    </row>
    <row r="61" spans="1:2" x14ac:dyDescent="0.3">
      <c r="A61" s="35">
        <f>Clean_Benchmark!D61</f>
        <v>45657</v>
      </c>
      <c r="B61" s="40">
        <f>Clean_Benchmark!E61</f>
        <v>35357.9</v>
      </c>
    </row>
    <row r="62" spans="1:2" x14ac:dyDescent="0.3">
      <c r="A62" s="35">
        <f>Clean_Benchmark!D62</f>
        <v>45688</v>
      </c>
      <c r="B62" s="40">
        <f>Clean_Benchmark!E62</f>
        <v>34130.93</v>
      </c>
    </row>
    <row r="63" spans="1:2" x14ac:dyDescent="0.3">
      <c r="A63" s="35">
        <f>Clean_Benchmark!D63</f>
        <v>45716</v>
      </c>
      <c r="B63" s="40">
        <f>Clean_Benchmark!E63</f>
        <v>31473.37</v>
      </c>
    </row>
    <row r="64" spans="1:2" x14ac:dyDescent="0.3">
      <c r="A64" s="35">
        <f>Clean_Benchmark!D64</f>
        <v>45747</v>
      </c>
      <c r="B64" s="40">
        <f>Clean_Benchmark!E64</f>
        <v>33787.56</v>
      </c>
    </row>
    <row r="65" spans="1:2" x14ac:dyDescent="0.3">
      <c r="A65" s="35">
        <f>Clean_Benchmark!D65</f>
        <v>45777</v>
      </c>
      <c r="B65" s="40">
        <f>Clean_Benchmark!E65</f>
        <v>34886.080000000002</v>
      </c>
    </row>
    <row r="66" spans="1:2" x14ac:dyDescent="0.3">
      <c r="A66" s="35">
        <f>Clean_Benchmark!D66</f>
        <v>45808</v>
      </c>
      <c r="B66" s="40">
        <f>Clean_Benchmark!E66</f>
        <v>36160.26</v>
      </c>
    </row>
    <row r="67" spans="1:2" x14ac:dyDescent="0.3">
      <c r="A67" s="35">
        <f>Clean_Benchmark!D67</f>
        <v>45838</v>
      </c>
      <c r="B67" s="40">
        <f>Clean_Benchmark!E67</f>
        <v>37522.379999999997</v>
      </c>
    </row>
    <row r="68" spans="1:2" x14ac:dyDescent="0.3">
      <c r="A68" s="35">
        <f>Clean_Benchmark!D68</f>
        <v>45869</v>
      </c>
      <c r="B68" s="40">
        <f>Clean_Benchmark!E68</f>
        <v>36461.71</v>
      </c>
    </row>
    <row r="69" spans="1:2" x14ac:dyDescent="0.3">
      <c r="A69" s="35">
        <f>Clean_Benchmark!D69</f>
        <v>45900</v>
      </c>
      <c r="B69" s="40">
        <f>Clean_Benchmark!E69</f>
        <v>35799.379999999997</v>
      </c>
    </row>
    <row r="70" spans="1:2" x14ac:dyDescent="0.3">
      <c r="A70" s="35">
        <f>Clean_Benchmark!D70</f>
        <v>45930</v>
      </c>
      <c r="B70" s="40">
        <f>Clean_Benchmark!E70</f>
        <v>36248.22</v>
      </c>
    </row>
    <row r="71" spans="1:2" x14ac:dyDescent="0.3">
      <c r="A71" s="35">
        <f>Clean_Benchmark!D71</f>
        <v>45961</v>
      </c>
      <c r="B71" s="40">
        <f>Clean_Benchmark!E71</f>
        <v>37822.449999999997</v>
      </c>
    </row>
    <row r="72" spans="1:2" x14ac:dyDescent="0.3">
      <c r="A72" s="37">
        <f>Clean_NAV!E73</f>
        <v>45972</v>
      </c>
      <c r="B72" s="41">
        <f>Clean_Benchmark!E72</f>
        <v>37794.11</v>
      </c>
    </row>
    <row r="73" spans="1:2" x14ac:dyDescent="0.3">
      <c r="A73" s="11"/>
      <c r="B73" s="12"/>
    </row>
    <row r="74" spans="1:2" x14ac:dyDescent="0.3">
      <c r="A74" s="11"/>
      <c r="B74" s="12"/>
    </row>
    <row r="75" spans="1:2" x14ac:dyDescent="0.3">
      <c r="A75" s="11"/>
      <c r="B75" s="12"/>
    </row>
    <row r="76" spans="1:2" x14ac:dyDescent="0.3">
      <c r="A76" s="11"/>
      <c r="B76" s="12"/>
    </row>
    <row r="77" spans="1:2" x14ac:dyDescent="0.3">
      <c r="A77" s="11"/>
      <c r="B77" s="12"/>
    </row>
    <row r="78" spans="1:2" x14ac:dyDescent="0.3">
      <c r="A78" s="11"/>
      <c r="B78" s="12"/>
    </row>
    <row r="79" spans="1:2" x14ac:dyDescent="0.3">
      <c r="A79" s="11"/>
      <c r="B79" s="12"/>
    </row>
    <row r="80" spans="1:2" x14ac:dyDescent="0.3">
      <c r="A80" s="11"/>
      <c r="B80" s="12"/>
    </row>
    <row r="81" spans="1:2" x14ac:dyDescent="0.3">
      <c r="A81" s="11"/>
      <c r="B81" s="12"/>
    </row>
  </sheetData>
  <pageMargins left="0.75" right="0.75" top="1" bottom="1" header="0.5" footer="0.5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1"/>
  <sheetViews>
    <sheetView workbookViewId="0">
      <pane ySplit="6" topLeftCell="A16" activePane="bottomLeft" state="frozen"/>
      <selection pane="bottomLeft" activeCell="H2" sqref="H2"/>
    </sheetView>
  </sheetViews>
  <sheetFormatPr defaultRowHeight="14.4" x14ac:dyDescent="0.3"/>
  <cols>
    <col min="1" max="1" width="23.88671875" style="11" bestFit="1" customWidth="1"/>
    <col min="2" max="2" width="14.6640625" bestFit="1" customWidth="1"/>
    <col min="3" max="3" width="20.33203125" bestFit="1" customWidth="1"/>
    <col min="4" max="4" width="18" customWidth="1"/>
    <col min="5" max="5" width="19" bestFit="1" customWidth="1"/>
    <col min="6" max="6" width="20" bestFit="1" customWidth="1"/>
    <col min="7" max="7" width="18.6640625" customWidth="1"/>
    <col min="8" max="8" width="23.6640625" bestFit="1" customWidth="1"/>
    <col min="9" max="9" width="18.109375" bestFit="1" customWidth="1"/>
    <col min="10" max="10" width="10.109375" bestFit="1" customWidth="1"/>
  </cols>
  <sheetData>
    <row r="1" spans="1:10" x14ac:dyDescent="0.3">
      <c r="A1" s="42" t="s">
        <v>65</v>
      </c>
      <c r="B1" s="17" t="s">
        <v>66</v>
      </c>
      <c r="D1" s="1"/>
    </row>
    <row r="2" spans="1:10" x14ac:dyDescent="0.3">
      <c r="A2" s="43" t="s">
        <v>67</v>
      </c>
      <c r="B2" s="18">
        <f>RF_Annual/100/12</f>
        <v>5.4216666666666675E-3</v>
      </c>
      <c r="D2" s="12"/>
    </row>
    <row r="3" spans="1:10" x14ac:dyDescent="0.3">
      <c r="A3" s="43" t="s">
        <v>68</v>
      </c>
      <c r="B3" s="18">
        <f>MAR_Annual/100/12</f>
        <v>0</v>
      </c>
      <c r="D3" s="12"/>
    </row>
    <row r="4" spans="1:10" x14ac:dyDescent="0.3">
      <c r="C4" t="s">
        <v>238</v>
      </c>
      <c r="D4" s="12"/>
    </row>
    <row r="5" spans="1:10" x14ac:dyDescent="0.3">
      <c r="A5" s="44" t="s">
        <v>60</v>
      </c>
      <c r="B5" s="31" t="s">
        <v>61</v>
      </c>
      <c r="C5" s="31" t="s">
        <v>69</v>
      </c>
      <c r="D5" s="31" t="s">
        <v>64</v>
      </c>
      <c r="E5" s="31" t="s">
        <v>70</v>
      </c>
      <c r="F5" s="31" t="s">
        <v>71</v>
      </c>
      <c r="G5" s="31" t="s">
        <v>72</v>
      </c>
      <c r="H5" s="31" t="s">
        <v>73</v>
      </c>
      <c r="I5" s="31" t="s">
        <v>74</v>
      </c>
      <c r="J5" s="31" t="s">
        <v>75</v>
      </c>
    </row>
    <row r="6" spans="1:10" x14ac:dyDescent="0.3">
      <c r="A6" s="43">
        <f t="shared" ref="A6:A37" si="0">INDEX(FundDates,ROW()-5)</f>
        <v>43861</v>
      </c>
      <c r="B6" s="18">
        <f t="shared" ref="B6:B37" si="1">INDEX(FundNAV,ROW()-5)</f>
        <v>40.256799999999998</v>
      </c>
      <c r="C6" s="18">
        <v>0</v>
      </c>
      <c r="D6" s="45">
        <f t="shared" ref="D6:D37" si="2">IFERROR(INDEX(BM_Value,MATCH(A6,BM_Dates,0)),NA())</f>
        <v>14804.57</v>
      </c>
      <c r="E6" s="18">
        <v>0</v>
      </c>
      <c r="F6" s="18">
        <f t="shared" ref="F6:F37" si="3">IF(ISNUMBER(C6),C6-$B$2,NA())</f>
        <v>-5.4216666666666675E-3</v>
      </c>
      <c r="G6" s="18">
        <f t="shared" ref="G6:G37" si="4">IF(ISNUMBER(E6),E6-$B$2,NA())</f>
        <v>-5.4216666666666675E-3</v>
      </c>
      <c r="H6" s="18">
        <f t="shared" ref="H6:H37" si="5">IF(AND(ISNUMBER(C6),ISNUMBER(E6)),C6-E6,NA())</f>
        <v>0</v>
      </c>
      <c r="I6" s="18">
        <f t="shared" ref="I6:I37" si="6">IF(ROW()=6,B6,MAX(B6,I5))</f>
        <v>40.256799999999998</v>
      </c>
      <c r="J6" s="18">
        <f>B6/I6-1</f>
        <v>0</v>
      </c>
    </row>
    <row r="7" spans="1:10" x14ac:dyDescent="0.3">
      <c r="A7" s="43">
        <f t="shared" si="0"/>
        <v>43890</v>
      </c>
      <c r="B7" s="18">
        <f t="shared" si="1"/>
        <v>39.144399999999997</v>
      </c>
      <c r="C7" s="18">
        <f t="shared" ref="C7:C38" si="7">IF(ROW()=6,NA(),INDEX(FundNAV,ROW()-5)/INDEX(FundNAV,ROW()-6-1)-1)</f>
        <v>8.6161734999666839E-2</v>
      </c>
      <c r="D7" s="45">
        <f t="shared" si="2"/>
        <v>13875.34</v>
      </c>
      <c r="E7" s="18">
        <f t="shared" ref="E7:E38" si="8">IF(OR(ROW()=6,ISNA(D7)),NA(),D7/D6-1)</f>
        <v>-6.2766429555198178E-2</v>
      </c>
      <c r="F7" s="18">
        <f t="shared" si="3"/>
        <v>8.0740068333000167E-2</v>
      </c>
      <c r="G7" s="18">
        <f t="shared" si="4"/>
        <v>-6.818809622186485E-2</v>
      </c>
      <c r="H7" s="18">
        <f t="shared" si="5"/>
        <v>0.14892816455486502</v>
      </c>
      <c r="I7" s="18">
        <f t="shared" si="6"/>
        <v>40.256799999999998</v>
      </c>
      <c r="J7" s="18">
        <f t="shared" ref="J7:J38" si="9">IF(I7=0,NA(),B7/I7-1)</f>
        <v>-2.7632598716241796E-2</v>
      </c>
    </row>
    <row r="8" spans="1:10" x14ac:dyDescent="0.3">
      <c r="A8" s="43">
        <f t="shared" si="0"/>
        <v>43921</v>
      </c>
      <c r="B8" s="18">
        <f t="shared" si="1"/>
        <v>30.860800000000001</v>
      </c>
      <c r="C8" s="18">
        <f t="shared" si="7"/>
        <v>-0.23340156197213879</v>
      </c>
      <c r="D8" s="45">
        <f t="shared" si="2"/>
        <v>10167.459999999999</v>
      </c>
      <c r="E8" s="18">
        <f t="shared" si="8"/>
        <v>-0.26722804630373032</v>
      </c>
      <c r="F8" s="18">
        <f t="shared" si="3"/>
        <v>-0.23882322863880545</v>
      </c>
      <c r="G8" s="18">
        <f t="shared" si="4"/>
        <v>-0.27264971297039697</v>
      </c>
      <c r="H8" s="18">
        <f t="shared" si="5"/>
        <v>3.3826484331591522E-2</v>
      </c>
      <c r="I8" s="18">
        <f t="shared" si="6"/>
        <v>40.256799999999998</v>
      </c>
      <c r="J8" s="18">
        <f t="shared" si="9"/>
        <v>-0.23340156197213879</v>
      </c>
    </row>
    <row r="9" spans="1:10" x14ac:dyDescent="0.3">
      <c r="A9" s="43">
        <f t="shared" si="0"/>
        <v>43951</v>
      </c>
      <c r="B9" s="18">
        <f t="shared" si="1"/>
        <v>34.441099999999999</v>
      </c>
      <c r="C9" s="18">
        <f t="shared" si="7"/>
        <v>-0.12015256332962054</v>
      </c>
      <c r="D9" s="45">
        <f t="shared" si="2"/>
        <v>12072.43</v>
      </c>
      <c r="E9" s="18">
        <f t="shared" si="8"/>
        <v>0.18735947817842424</v>
      </c>
      <c r="F9" s="18">
        <f t="shared" si="3"/>
        <v>-0.1255742299962872</v>
      </c>
      <c r="G9" s="18">
        <f t="shared" si="4"/>
        <v>0.18193781151175759</v>
      </c>
      <c r="H9" s="18">
        <f t="shared" si="5"/>
        <v>-0.30751204150804479</v>
      </c>
      <c r="I9" s="18">
        <f t="shared" si="6"/>
        <v>40.256799999999998</v>
      </c>
      <c r="J9" s="18">
        <f t="shared" si="9"/>
        <v>-0.14446503447864711</v>
      </c>
    </row>
    <row r="10" spans="1:10" x14ac:dyDescent="0.3">
      <c r="A10" s="43">
        <f t="shared" si="0"/>
        <v>43982</v>
      </c>
      <c r="B10" s="18">
        <f t="shared" si="1"/>
        <v>34.025500000000001</v>
      </c>
      <c r="C10" s="18">
        <f t="shared" si="7"/>
        <v>0.1025475684363335</v>
      </c>
      <c r="D10" s="45">
        <f t="shared" si="2"/>
        <v>11793.53</v>
      </c>
      <c r="E10" s="18">
        <f t="shared" si="8"/>
        <v>-2.3102225484016081E-2</v>
      </c>
      <c r="F10" s="18">
        <f t="shared" si="3"/>
        <v>9.7125901769666831E-2</v>
      </c>
      <c r="G10" s="18">
        <f t="shared" si="4"/>
        <v>-2.852389215068275E-2</v>
      </c>
      <c r="H10" s="18">
        <f t="shared" si="5"/>
        <v>0.12564979392034958</v>
      </c>
      <c r="I10" s="18">
        <f t="shared" si="6"/>
        <v>40.256799999999998</v>
      </c>
      <c r="J10" s="18">
        <f t="shared" si="9"/>
        <v>-0.15478875618529042</v>
      </c>
    </row>
    <row r="11" spans="1:10" x14ac:dyDescent="0.3">
      <c r="A11" s="43">
        <f t="shared" si="0"/>
        <v>44012</v>
      </c>
      <c r="B11" s="18">
        <f t="shared" si="1"/>
        <v>36.039200000000001</v>
      </c>
      <c r="C11" s="18">
        <f t="shared" si="7"/>
        <v>4.6400956996147213E-2</v>
      </c>
      <c r="D11" s="45">
        <f t="shared" si="2"/>
        <v>12783.45</v>
      </c>
      <c r="E11" s="18">
        <f t="shared" si="8"/>
        <v>8.3937548808541651E-2</v>
      </c>
      <c r="F11" s="18">
        <f t="shared" si="3"/>
        <v>4.0979290329480549E-2</v>
      </c>
      <c r="G11" s="18">
        <f t="shared" si="4"/>
        <v>7.8515882141874979E-2</v>
      </c>
      <c r="H11" s="18">
        <f t="shared" si="5"/>
        <v>-3.7536591812394438E-2</v>
      </c>
      <c r="I11" s="18">
        <f t="shared" si="6"/>
        <v>40.256799999999998</v>
      </c>
      <c r="J11" s="18">
        <f t="shared" si="9"/>
        <v>-0.10476739333479057</v>
      </c>
    </row>
    <row r="12" spans="1:10" x14ac:dyDescent="0.3">
      <c r="A12" s="43">
        <f t="shared" si="0"/>
        <v>44043</v>
      </c>
      <c r="B12" s="18">
        <f t="shared" si="1"/>
        <v>43.588099999999997</v>
      </c>
      <c r="C12" s="18">
        <f t="shared" si="7"/>
        <v>0.2810421595568029</v>
      </c>
      <c r="D12" s="45">
        <f t="shared" si="2"/>
        <v>13654.79</v>
      </c>
      <c r="E12" s="18">
        <f t="shared" si="8"/>
        <v>6.8161568277734119E-2</v>
      </c>
      <c r="F12" s="18">
        <f t="shared" si="3"/>
        <v>0.27562049289013624</v>
      </c>
      <c r="G12" s="18">
        <f t="shared" si="4"/>
        <v>6.2739901611067447E-2</v>
      </c>
      <c r="H12" s="18">
        <f t="shared" si="5"/>
        <v>0.21288059127906878</v>
      </c>
      <c r="I12" s="18">
        <f t="shared" si="6"/>
        <v>43.588099999999997</v>
      </c>
      <c r="J12" s="18">
        <f t="shared" si="9"/>
        <v>0</v>
      </c>
    </row>
    <row r="13" spans="1:10" x14ac:dyDescent="0.3">
      <c r="A13" s="43">
        <f t="shared" si="0"/>
        <v>44074</v>
      </c>
      <c r="B13" s="18">
        <f t="shared" si="1"/>
        <v>45.274900000000002</v>
      </c>
      <c r="C13" s="18">
        <f t="shared" si="7"/>
        <v>0.25626817465426543</v>
      </c>
      <c r="D13" s="45">
        <f t="shared" si="2"/>
        <v>14179.34</v>
      </c>
      <c r="E13" s="18">
        <f t="shared" si="8"/>
        <v>3.8415090968077825E-2</v>
      </c>
      <c r="F13" s="18">
        <f t="shared" si="3"/>
        <v>0.25084650798759878</v>
      </c>
      <c r="G13" s="18">
        <f t="shared" si="4"/>
        <v>3.299342430141116E-2</v>
      </c>
      <c r="H13" s="18">
        <f t="shared" si="5"/>
        <v>0.21785308368618761</v>
      </c>
      <c r="I13" s="18">
        <f t="shared" si="6"/>
        <v>45.274900000000002</v>
      </c>
      <c r="J13" s="18">
        <f t="shared" si="9"/>
        <v>0</v>
      </c>
    </row>
    <row r="14" spans="1:10" x14ac:dyDescent="0.3">
      <c r="A14" s="43">
        <f t="shared" si="0"/>
        <v>44104</v>
      </c>
      <c r="B14" s="18">
        <f t="shared" si="1"/>
        <v>46.104900000000001</v>
      </c>
      <c r="C14" s="18">
        <f t="shared" si="7"/>
        <v>5.7740530098811416E-2</v>
      </c>
      <c r="D14" s="45">
        <f t="shared" si="2"/>
        <v>14139.78</v>
      </c>
      <c r="E14" s="18">
        <f t="shared" si="8"/>
        <v>-2.7899747096832295E-3</v>
      </c>
      <c r="F14" s="18">
        <f t="shared" si="3"/>
        <v>5.2318863432144751E-2</v>
      </c>
      <c r="G14" s="18">
        <f t="shared" si="4"/>
        <v>-8.2116413763498979E-3</v>
      </c>
      <c r="H14" s="18">
        <f t="shared" si="5"/>
        <v>6.0530504808494645E-2</v>
      </c>
      <c r="I14" s="18">
        <f t="shared" si="6"/>
        <v>46.104900000000001</v>
      </c>
      <c r="J14" s="18">
        <f t="shared" si="9"/>
        <v>0</v>
      </c>
    </row>
    <row r="15" spans="1:10" x14ac:dyDescent="0.3">
      <c r="A15" s="43">
        <f t="shared" si="0"/>
        <v>44135</v>
      </c>
      <c r="B15" s="18">
        <f t="shared" si="1"/>
        <v>47.628300000000003</v>
      </c>
      <c r="C15" s="18">
        <f t="shared" si="7"/>
        <v>5.1980236289864923E-2</v>
      </c>
      <c r="D15" s="45">
        <f t="shared" si="2"/>
        <v>14521.56</v>
      </c>
      <c r="E15" s="18">
        <f t="shared" si="8"/>
        <v>2.7000420091401578E-2</v>
      </c>
      <c r="F15" s="18">
        <f t="shared" si="3"/>
        <v>4.6558569623198258E-2</v>
      </c>
      <c r="G15" s="18">
        <f t="shared" si="4"/>
        <v>2.157875342473491E-2</v>
      </c>
      <c r="H15" s="18">
        <f t="shared" si="5"/>
        <v>2.4979816198463345E-2</v>
      </c>
      <c r="I15" s="18">
        <f t="shared" si="6"/>
        <v>47.628300000000003</v>
      </c>
      <c r="J15" s="18">
        <f t="shared" si="9"/>
        <v>0</v>
      </c>
    </row>
    <row r="16" spans="1:10" x14ac:dyDescent="0.3">
      <c r="A16" s="43">
        <f t="shared" si="0"/>
        <v>44165</v>
      </c>
      <c r="B16" s="18">
        <f t="shared" si="1"/>
        <v>48.426900000000003</v>
      </c>
      <c r="C16" s="18">
        <f t="shared" si="7"/>
        <v>5.0363410396725872E-2</v>
      </c>
      <c r="D16" s="45">
        <f t="shared" si="2"/>
        <v>16255.62</v>
      </c>
      <c r="E16" s="18">
        <f t="shared" si="8"/>
        <v>0.11941279036136621</v>
      </c>
      <c r="F16" s="18">
        <f t="shared" si="3"/>
        <v>4.4941743730059207E-2</v>
      </c>
      <c r="G16" s="18">
        <f t="shared" si="4"/>
        <v>0.11399112369469953</v>
      </c>
      <c r="H16" s="18">
        <f t="shared" si="5"/>
        <v>-6.9049379964640334E-2</v>
      </c>
      <c r="I16" s="18">
        <f t="shared" si="6"/>
        <v>48.426900000000003</v>
      </c>
      <c r="J16" s="18">
        <f t="shared" si="9"/>
        <v>0</v>
      </c>
    </row>
    <row r="17" spans="1:10" x14ac:dyDescent="0.3">
      <c r="A17" s="43">
        <f t="shared" si="0"/>
        <v>44196</v>
      </c>
      <c r="B17" s="18">
        <f t="shared" si="1"/>
        <v>50.5929</v>
      </c>
      <c r="C17" s="18">
        <f t="shared" si="7"/>
        <v>6.2244505892504964E-2</v>
      </c>
      <c r="D17" s="45">
        <f t="shared" si="2"/>
        <v>17470.79</v>
      </c>
      <c r="E17" s="18">
        <f t="shared" si="8"/>
        <v>7.4753838979995768E-2</v>
      </c>
      <c r="F17" s="18">
        <f t="shared" si="3"/>
        <v>5.6822839225838299E-2</v>
      </c>
      <c r="G17" s="18">
        <f t="shared" si="4"/>
        <v>6.9332172313329096E-2</v>
      </c>
      <c r="H17" s="18">
        <f t="shared" si="5"/>
        <v>-1.2509333087490804E-2</v>
      </c>
      <c r="I17" s="18">
        <f t="shared" si="6"/>
        <v>50.5929</v>
      </c>
      <c r="J17" s="18">
        <f t="shared" si="9"/>
        <v>0</v>
      </c>
    </row>
    <row r="18" spans="1:10" x14ac:dyDescent="0.3">
      <c r="A18" s="43">
        <f t="shared" si="0"/>
        <v>44227</v>
      </c>
      <c r="B18" s="18">
        <f t="shared" si="1"/>
        <v>49.9191</v>
      </c>
      <c r="C18" s="18">
        <f t="shared" si="7"/>
        <v>3.0813452853682533E-2</v>
      </c>
      <c r="D18" s="45">
        <f t="shared" si="2"/>
        <v>17147.27</v>
      </c>
      <c r="E18" s="18">
        <f t="shared" si="8"/>
        <v>-1.8517765939605524E-2</v>
      </c>
      <c r="F18" s="18">
        <f t="shared" si="3"/>
        <v>2.5391786187015864E-2</v>
      </c>
      <c r="G18" s="18">
        <f t="shared" si="4"/>
        <v>-2.3939432606272192E-2</v>
      </c>
      <c r="H18" s="18">
        <f t="shared" si="5"/>
        <v>4.9331218793288056E-2</v>
      </c>
      <c r="I18" s="18">
        <f t="shared" si="6"/>
        <v>50.5929</v>
      </c>
      <c r="J18" s="18">
        <f t="shared" si="9"/>
        <v>-1.3318074275244118E-2</v>
      </c>
    </row>
    <row r="19" spans="1:10" x14ac:dyDescent="0.3">
      <c r="A19" s="43">
        <f t="shared" si="0"/>
        <v>44255</v>
      </c>
      <c r="B19" s="18">
        <f t="shared" si="1"/>
        <v>52.4131</v>
      </c>
      <c r="C19" s="18">
        <f t="shared" si="7"/>
        <v>3.5977380225288513E-2</v>
      </c>
      <c r="D19" s="45">
        <f t="shared" si="2"/>
        <v>18504.86</v>
      </c>
      <c r="E19" s="18">
        <f t="shared" si="8"/>
        <v>7.9172369712496415E-2</v>
      </c>
      <c r="F19" s="18">
        <f t="shared" si="3"/>
        <v>3.0555713558621845E-2</v>
      </c>
      <c r="G19" s="18">
        <f t="shared" si="4"/>
        <v>7.3750703045829744E-2</v>
      </c>
      <c r="H19" s="18">
        <f t="shared" si="5"/>
        <v>-4.3194989487207902E-2</v>
      </c>
      <c r="I19" s="18">
        <f t="shared" si="6"/>
        <v>52.4131</v>
      </c>
      <c r="J19" s="18">
        <f t="shared" si="9"/>
        <v>0</v>
      </c>
    </row>
    <row r="20" spans="1:10" x14ac:dyDescent="0.3">
      <c r="A20" s="43">
        <f t="shared" si="0"/>
        <v>44286</v>
      </c>
      <c r="B20" s="18">
        <f t="shared" si="1"/>
        <v>54.206499999999998</v>
      </c>
      <c r="C20" s="18">
        <f t="shared" si="7"/>
        <v>8.5886965109547297E-2</v>
      </c>
      <c r="D20" s="45">
        <f t="shared" si="2"/>
        <v>18717.240000000002</v>
      </c>
      <c r="E20" s="18">
        <f t="shared" si="8"/>
        <v>1.1476984965030912E-2</v>
      </c>
      <c r="F20" s="18">
        <f t="shared" si="3"/>
        <v>8.0465298442880626E-2</v>
      </c>
      <c r="G20" s="18">
        <f t="shared" si="4"/>
        <v>6.0553182983642444E-3</v>
      </c>
      <c r="H20" s="18">
        <f t="shared" si="5"/>
        <v>7.4409980144516386E-2</v>
      </c>
      <c r="I20" s="18">
        <f t="shared" si="6"/>
        <v>54.206499999999998</v>
      </c>
      <c r="J20" s="18">
        <f t="shared" si="9"/>
        <v>0</v>
      </c>
    </row>
    <row r="21" spans="1:10" x14ac:dyDescent="0.3">
      <c r="A21" s="43">
        <f t="shared" si="0"/>
        <v>44316</v>
      </c>
      <c r="B21" s="18">
        <f t="shared" si="1"/>
        <v>61.483699999999999</v>
      </c>
      <c r="C21" s="18">
        <f t="shared" si="7"/>
        <v>0.17305978848799253</v>
      </c>
      <c r="D21" s="45">
        <f t="shared" si="2"/>
        <v>18802.03</v>
      </c>
      <c r="E21" s="18">
        <f t="shared" si="8"/>
        <v>4.5300482336070313E-3</v>
      </c>
      <c r="F21" s="18">
        <f t="shared" si="3"/>
        <v>0.16763812182132587</v>
      </c>
      <c r="G21" s="18">
        <f t="shared" si="4"/>
        <v>-8.9161843305963617E-4</v>
      </c>
      <c r="H21" s="18">
        <f t="shared" si="5"/>
        <v>0.1685297402543855</v>
      </c>
      <c r="I21" s="18">
        <f t="shared" si="6"/>
        <v>61.483699999999999</v>
      </c>
      <c r="J21" s="18">
        <f t="shared" si="9"/>
        <v>0</v>
      </c>
    </row>
    <row r="22" spans="1:10" x14ac:dyDescent="0.3">
      <c r="A22" s="43">
        <f t="shared" si="0"/>
        <v>44347</v>
      </c>
      <c r="B22" s="18">
        <f t="shared" si="1"/>
        <v>68.411299999999997</v>
      </c>
      <c r="C22" s="18">
        <f t="shared" si="7"/>
        <v>0.26204975418077159</v>
      </c>
      <c r="D22" s="45">
        <f t="shared" si="2"/>
        <v>20138.099999999999</v>
      </c>
      <c r="E22" s="18">
        <f t="shared" si="8"/>
        <v>7.1059880236336248E-2</v>
      </c>
      <c r="F22" s="18">
        <f t="shared" si="3"/>
        <v>0.25662808751410493</v>
      </c>
      <c r="G22" s="18">
        <f t="shared" si="4"/>
        <v>6.5638213569669576E-2</v>
      </c>
      <c r="H22" s="18">
        <f t="shared" si="5"/>
        <v>0.19098987394443534</v>
      </c>
      <c r="I22" s="18">
        <f t="shared" si="6"/>
        <v>68.411299999999997</v>
      </c>
      <c r="J22" s="18">
        <f t="shared" si="9"/>
        <v>0</v>
      </c>
    </row>
    <row r="23" spans="1:10" x14ac:dyDescent="0.3">
      <c r="A23" s="43">
        <f t="shared" si="0"/>
        <v>44377</v>
      </c>
      <c r="B23" s="18">
        <f t="shared" si="1"/>
        <v>70.886300000000006</v>
      </c>
      <c r="C23" s="18">
        <f t="shared" si="7"/>
        <v>0.15292833710398046</v>
      </c>
      <c r="D23" s="45">
        <f t="shared" si="2"/>
        <v>20552.2</v>
      </c>
      <c r="E23" s="18">
        <f t="shared" si="8"/>
        <v>2.0563012399382297E-2</v>
      </c>
      <c r="F23" s="18">
        <f t="shared" si="3"/>
        <v>0.1475066704373138</v>
      </c>
      <c r="G23" s="18">
        <f t="shared" si="4"/>
        <v>1.5141345732715628E-2</v>
      </c>
      <c r="H23" s="18">
        <f t="shared" si="5"/>
        <v>0.13236532470459816</v>
      </c>
      <c r="I23" s="18">
        <f t="shared" si="6"/>
        <v>70.886300000000006</v>
      </c>
      <c r="J23" s="18">
        <f t="shared" si="9"/>
        <v>0</v>
      </c>
    </row>
    <row r="24" spans="1:10" x14ac:dyDescent="0.3">
      <c r="A24" s="43">
        <f t="shared" si="0"/>
        <v>44408</v>
      </c>
      <c r="B24" s="18">
        <f t="shared" si="1"/>
        <v>74.050399999999996</v>
      </c>
      <c r="C24" s="18">
        <f t="shared" si="7"/>
        <v>8.242936473945095E-2</v>
      </c>
      <c r="D24" s="45">
        <f t="shared" si="2"/>
        <v>20876.599999999999</v>
      </c>
      <c r="E24" s="18">
        <f t="shared" si="8"/>
        <v>1.57841982853415E-2</v>
      </c>
      <c r="F24" s="18">
        <f t="shared" si="3"/>
        <v>7.7007698072784278E-2</v>
      </c>
      <c r="G24" s="18">
        <f t="shared" si="4"/>
        <v>1.0362531618674831E-2</v>
      </c>
      <c r="H24" s="18">
        <f t="shared" si="5"/>
        <v>6.664516645410945E-2</v>
      </c>
      <c r="I24" s="18">
        <f t="shared" si="6"/>
        <v>74.050399999999996</v>
      </c>
      <c r="J24" s="18">
        <f t="shared" si="9"/>
        <v>0</v>
      </c>
    </row>
    <row r="25" spans="1:10" x14ac:dyDescent="0.3">
      <c r="A25" s="43">
        <f t="shared" si="0"/>
        <v>44439</v>
      </c>
      <c r="B25" s="18">
        <f t="shared" si="1"/>
        <v>72.046899999999994</v>
      </c>
      <c r="C25" s="18">
        <f t="shared" si="7"/>
        <v>1.6372698250578521E-2</v>
      </c>
      <c r="D25" s="45">
        <f t="shared" si="2"/>
        <v>22253.61</v>
      </c>
      <c r="E25" s="18">
        <f t="shared" si="8"/>
        <v>6.5959495320119244E-2</v>
      </c>
      <c r="F25" s="18">
        <f t="shared" si="3"/>
        <v>1.0951031583911853E-2</v>
      </c>
      <c r="G25" s="18">
        <f t="shared" si="4"/>
        <v>6.0537828653452579E-2</v>
      </c>
      <c r="H25" s="18">
        <f t="shared" si="5"/>
        <v>-4.9586797069540722E-2</v>
      </c>
      <c r="I25" s="18">
        <f t="shared" si="6"/>
        <v>74.050399999999996</v>
      </c>
      <c r="J25" s="18">
        <f t="shared" si="9"/>
        <v>-2.7055897064701906E-2</v>
      </c>
    </row>
    <row r="26" spans="1:10" x14ac:dyDescent="0.3">
      <c r="A26" s="43">
        <f t="shared" si="0"/>
        <v>44469</v>
      </c>
      <c r="B26" s="18">
        <f t="shared" si="1"/>
        <v>74.577699999999993</v>
      </c>
      <c r="C26" s="18">
        <f t="shared" si="7"/>
        <v>7.1208258159307647E-3</v>
      </c>
      <c r="D26" s="45">
        <f t="shared" si="2"/>
        <v>23029.08</v>
      </c>
      <c r="E26" s="18">
        <f t="shared" si="8"/>
        <v>3.4846930453081626E-2</v>
      </c>
      <c r="F26" s="18">
        <f t="shared" si="3"/>
        <v>1.6991591492640972E-3</v>
      </c>
      <c r="G26" s="18">
        <f t="shared" si="4"/>
        <v>2.9425263786414958E-2</v>
      </c>
      <c r="H26" s="18">
        <f t="shared" si="5"/>
        <v>-2.7726104637150861E-2</v>
      </c>
      <c r="I26" s="18">
        <f t="shared" si="6"/>
        <v>74.577699999999993</v>
      </c>
      <c r="J26" s="18">
        <f t="shared" si="9"/>
        <v>0</v>
      </c>
    </row>
    <row r="27" spans="1:10" x14ac:dyDescent="0.3">
      <c r="A27" s="43">
        <f t="shared" si="0"/>
        <v>44500</v>
      </c>
      <c r="B27" s="18">
        <f t="shared" si="1"/>
        <v>76.333299999999994</v>
      </c>
      <c r="C27" s="18">
        <f t="shared" si="7"/>
        <v>5.9494579225476851E-2</v>
      </c>
      <c r="D27" s="45">
        <f t="shared" si="2"/>
        <v>23100.97</v>
      </c>
      <c r="E27" s="18">
        <f t="shared" si="8"/>
        <v>3.1217052526630873E-3</v>
      </c>
      <c r="F27" s="18">
        <f t="shared" si="3"/>
        <v>5.4072912558810186E-2</v>
      </c>
      <c r="G27" s="18">
        <f t="shared" si="4"/>
        <v>-2.2999614140035802E-3</v>
      </c>
      <c r="H27" s="18">
        <f t="shared" si="5"/>
        <v>5.6372873972813764E-2</v>
      </c>
      <c r="I27" s="18">
        <f t="shared" si="6"/>
        <v>76.333299999999994</v>
      </c>
      <c r="J27" s="18">
        <f t="shared" si="9"/>
        <v>0</v>
      </c>
    </row>
    <row r="28" spans="1:10" x14ac:dyDescent="0.3">
      <c r="A28" s="43">
        <f t="shared" si="0"/>
        <v>44530</v>
      </c>
      <c r="B28" s="18">
        <f t="shared" si="1"/>
        <v>76.696399999999997</v>
      </c>
      <c r="C28" s="18">
        <f t="shared" si="7"/>
        <v>2.8409296612794455E-2</v>
      </c>
      <c r="D28" s="45">
        <f t="shared" si="2"/>
        <v>22447.74</v>
      </c>
      <c r="E28" s="18">
        <f t="shared" si="8"/>
        <v>-2.8277167582140494E-2</v>
      </c>
      <c r="F28" s="18">
        <f t="shared" si="3"/>
        <v>2.2987629946127786E-2</v>
      </c>
      <c r="G28" s="18">
        <f t="shared" si="4"/>
        <v>-3.3698834248807159E-2</v>
      </c>
      <c r="H28" s="18">
        <f t="shared" si="5"/>
        <v>5.6686464194934949E-2</v>
      </c>
      <c r="I28" s="18">
        <f t="shared" si="6"/>
        <v>76.696399999999997</v>
      </c>
      <c r="J28" s="18">
        <f t="shared" si="9"/>
        <v>0</v>
      </c>
    </row>
    <row r="29" spans="1:10" x14ac:dyDescent="0.3">
      <c r="A29" s="43">
        <f t="shared" si="0"/>
        <v>44561</v>
      </c>
      <c r="B29" s="18">
        <f t="shared" si="1"/>
        <v>79.413300000000007</v>
      </c>
      <c r="C29" s="18">
        <f t="shared" si="7"/>
        <v>4.0349362597975169E-2</v>
      </c>
      <c r="D29" s="45">
        <f t="shared" si="2"/>
        <v>22990.880000000001</v>
      </c>
      <c r="E29" s="18">
        <f t="shared" si="8"/>
        <v>2.41957542273743E-2</v>
      </c>
      <c r="F29" s="18">
        <f t="shared" si="3"/>
        <v>3.4927695931308504E-2</v>
      </c>
      <c r="G29" s="18">
        <f t="shared" si="4"/>
        <v>1.8774087560707631E-2</v>
      </c>
      <c r="H29" s="18">
        <f t="shared" si="5"/>
        <v>1.6153608370600869E-2</v>
      </c>
      <c r="I29" s="18">
        <f t="shared" si="6"/>
        <v>79.413300000000007</v>
      </c>
      <c r="J29" s="18">
        <f t="shared" si="9"/>
        <v>0</v>
      </c>
    </row>
    <row r="30" spans="1:10" x14ac:dyDescent="0.3">
      <c r="A30" s="43">
        <f t="shared" si="0"/>
        <v>44592</v>
      </c>
      <c r="B30" s="18">
        <f t="shared" si="1"/>
        <v>81.138000000000005</v>
      </c>
      <c r="C30" s="18">
        <f t="shared" si="7"/>
        <v>5.7911453471088725E-2</v>
      </c>
      <c r="D30" s="45">
        <f t="shared" si="2"/>
        <v>22881.58</v>
      </c>
      <c r="E30" s="18">
        <f t="shared" si="8"/>
        <v>-4.7540590007864036E-3</v>
      </c>
      <c r="F30" s="18">
        <f t="shared" si="3"/>
        <v>5.248978680442206E-2</v>
      </c>
      <c r="G30" s="18">
        <f t="shared" si="4"/>
        <v>-1.0175725667453072E-2</v>
      </c>
      <c r="H30" s="18">
        <f t="shared" si="5"/>
        <v>6.2665512471875129E-2</v>
      </c>
      <c r="I30" s="18">
        <f t="shared" si="6"/>
        <v>81.138000000000005</v>
      </c>
      <c r="J30" s="18">
        <f t="shared" si="9"/>
        <v>0</v>
      </c>
    </row>
    <row r="31" spans="1:10" x14ac:dyDescent="0.3">
      <c r="A31" s="43">
        <f t="shared" si="0"/>
        <v>44620</v>
      </c>
      <c r="B31" s="18">
        <f t="shared" si="1"/>
        <v>76.705600000000004</v>
      </c>
      <c r="C31" s="18">
        <f t="shared" si="7"/>
        <v>-3.4096303767756853E-2</v>
      </c>
      <c r="D31" s="45">
        <f t="shared" si="2"/>
        <v>21978.65</v>
      </c>
      <c r="E31" s="18">
        <f t="shared" si="8"/>
        <v>-3.9460998759700994E-2</v>
      </c>
      <c r="F31" s="18">
        <f t="shared" si="3"/>
        <v>-3.9517970434423517E-2</v>
      </c>
      <c r="G31" s="18">
        <f t="shared" si="4"/>
        <v>-4.4882665426367659E-2</v>
      </c>
      <c r="H31" s="18">
        <f t="shared" si="5"/>
        <v>5.3646949919441411E-3</v>
      </c>
      <c r="I31" s="18">
        <f t="shared" si="6"/>
        <v>81.138000000000005</v>
      </c>
      <c r="J31" s="18">
        <f t="shared" si="9"/>
        <v>-5.4627917868323106E-2</v>
      </c>
    </row>
    <row r="32" spans="1:10" x14ac:dyDescent="0.3">
      <c r="A32" s="43">
        <f t="shared" si="0"/>
        <v>44651</v>
      </c>
      <c r="B32" s="18">
        <f t="shared" si="1"/>
        <v>82.869900000000001</v>
      </c>
      <c r="C32" s="18">
        <f t="shared" si="7"/>
        <v>2.1345115728758302E-2</v>
      </c>
      <c r="D32" s="45">
        <f t="shared" si="2"/>
        <v>22889.14</v>
      </c>
      <c r="E32" s="18">
        <f t="shared" si="8"/>
        <v>4.1426111248870967E-2</v>
      </c>
      <c r="F32" s="18">
        <f t="shared" si="3"/>
        <v>1.5923449062091633E-2</v>
      </c>
      <c r="G32" s="18">
        <f t="shared" si="4"/>
        <v>3.6004444582204302E-2</v>
      </c>
      <c r="H32" s="18">
        <f t="shared" si="5"/>
        <v>-2.0080995520112666E-2</v>
      </c>
      <c r="I32" s="18">
        <f t="shared" si="6"/>
        <v>82.869900000000001</v>
      </c>
      <c r="J32" s="18">
        <f t="shared" si="9"/>
        <v>0</v>
      </c>
    </row>
    <row r="33" spans="1:10" x14ac:dyDescent="0.3">
      <c r="A33" s="43">
        <f t="shared" si="0"/>
        <v>44681</v>
      </c>
      <c r="B33" s="18">
        <f t="shared" si="1"/>
        <v>85.196399999999997</v>
      </c>
      <c r="C33" s="18">
        <f t="shared" si="7"/>
        <v>0.11069335224546828</v>
      </c>
      <c r="D33" s="45">
        <f t="shared" si="2"/>
        <v>22726.01</v>
      </c>
      <c r="E33" s="18">
        <f t="shared" si="8"/>
        <v>-7.1269606459657409E-3</v>
      </c>
      <c r="F33" s="18">
        <f t="shared" si="3"/>
        <v>0.10527168557880161</v>
      </c>
      <c r="G33" s="18">
        <f t="shared" si="4"/>
        <v>-1.2548627312632409E-2</v>
      </c>
      <c r="H33" s="18">
        <f t="shared" si="5"/>
        <v>0.11782031289143402</v>
      </c>
      <c r="I33" s="18">
        <f t="shared" si="6"/>
        <v>85.196399999999997</v>
      </c>
      <c r="J33" s="18">
        <f t="shared" si="9"/>
        <v>0</v>
      </c>
    </row>
    <row r="34" spans="1:10" x14ac:dyDescent="0.3">
      <c r="A34" s="43">
        <f t="shared" si="0"/>
        <v>44712</v>
      </c>
      <c r="B34" s="18">
        <f t="shared" si="1"/>
        <v>79.678100000000001</v>
      </c>
      <c r="C34" s="18">
        <f t="shared" si="7"/>
        <v>-3.8515794033780693E-2</v>
      </c>
      <c r="D34" s="45">
        <f t="shared" si="2"/>
        <v>21765.82</v>
      </c>
      <c r="E34" s="18">
        <f t="shared" si="8"/>
        <v>-4.2250707449305813E-2</v>
      </c>
      <c r="F34" s="18">
        <f t="shared" si="3"/>
        <v>-4.3937460700447357E-2</v>
      </c>
      <c r="G34" s="18">
        <f t="shared" si="4"/>
        <v>-4.7672374115972478E-2</v>
      </c>
      <c r="H34" s="18">
        <f t="shared" si="5"/>
        <v>3.7349134155251207E-3</v>
      </c>
      <c r="I34" s="18">
        <f t="shared" si="6"/>
        <v>85.196399999999997</v>
      </c>
      <c r="J34" s="18">
        <f t="shared" si="9"/>
        <v>-6.4771516167349774E-2</v>
      </c>
    </row>
    <row r="35" spans="1:10" x14ac:dyDescent="0.3">
      <c r="A35" s="43">
        <f t="shared" si="0"/>
        <v>44742</v>
      </c>
      <c r="B35" s="18">
        <f t="shared" si="1"/>
        <v>75.992999999999995</v>
      </c>
      <c r="C35" s="18">
        <f t="shared" si="7"/>
        <v>-0.10802569122638983</v>
      </c>
      <c r="D35" s="45">
        <f t="shared" si="2"/>
        <v>20667.27</v>
      </c>
      <c r="E35" s="18">
        <f t="shared" si="8"/>
        <v>-5.0471335332185951E-2</v>
      </c>
      <c r="F35" s="18">
        <f t="shared" si="3"/>
        <v>-0.1134473578930565</v>
      </c>
      <c r="G35" s="18">
        <f t="shared" si="4"/>
        <v>-5.5893001998852616E-2</v>
      </c>
      <c r="H35" s="18">
        <f t="shared" si="5"/>
        <v>-5.7554355894203879E-2</v>
      </c>
      <c r="I35" s="18">
        <f t="shared" si="6"/>
        <v>85.196399999999997</v>
      </c>
      <c r="J35" s="18">
        <f t="shared" si="9"/>
        <v>-0.10802569122638983</v>
      </c>
    </row>
    <row r="36" spans="1:10" x14ac:dyDescent="0.3">
      <c r="A36" s="43">
        <f t="shared" si="0"/>
        <v>44773</v>
      </c>
      <c r="B36" s="18">
        <f t="shared" si="1"/>
        <v>81.361500000000007</v>
      </c>
      <c r="C36" s="18">
        <f t="shared" si="7"/>
        <v>2.1127511825708822E-2</v>
      </c>
      <c r="D36" s="45">
        <f t="shared" si="2"/>
        <v>22678.29</v>
      </c>
      <c r="E36" s="18">
        <f t="shared" si="8"/>
        <v>9.7304578688912402E-2</v>
      </c>
      <c r="F36" s="18">
        <f t="shared" si="3"/>
        <v>1.5705845159042154E-2</v>
      </c>
      <c r="G36" s="18">
        <f t="shared" si="4"/>
        <v>9.188291202224573E-2</v>
      </c>
      <c r="H36" s="18">
        <f t="shared" si="5"/>
        <v>-7.617706686320358E-2</v>
      </c>
      <c r="I36" s="18">
        <f t="shared" si="6"/>
        <v>85.196399999999997</v>
      </c>
      <c r="J36" s="18">
        <f t="shared" si="9"/>
        <v>-4.501246531543579E-2</v>
      </c>
    </row>
    <row r="37" spans="1:10" x14ac:dyDescent="0.3">
      <c r="A37" s="43">
        <f t="shared" si="0"/>
        <v>44804</v>
      </c>
      <c r="B37" s="18">
        <f t="shared" si="1"/>
        <v>85.380099999999999</v>
      </c>
      <c r="C37" s="18">
        <f t="shared" si="7"/>
        <v>0.12352585106522973</v>
      </c>
      <c r="D37" s="45">
        <f t="shared" si="2"/>
        <v>23740.37</v>
      </c>
      <c r="E37" s="18">
        <f t="shared" si="8"/>
        <v>4.6832455180703558E-2</v>
      </c>
      <c r="F37" s="18">
        <f t="shared" si="3"/>
        <v>0.11810418439856306</v>
      </c>
      <c r="G37" s="18">
        <f t="shared" si="4"/>
        <v>4.1410788514036893E-2</v>
      </c>
      <c r="H37" s="18">
        <f t="shared" si="5"/>
        <v>7.6693395884526172E-2</v>
      </c>
      <c r="I37" s="18">
        <f t="shared" si="6"/>
        <v>85.380099999999999</v>
      </c>
      <c r="J37" s="18">
        <f t="shared" si="9"/>
        <v>0</v>
      </c>
    </row>
    <row r="38" spans="1:10" x14ac:dyDescent="0.3">
      <c r="A38" s="43">
        <f t="shared" ref="A38:A69" si="10">INDEX(FundDates,ROW()-5)</f>
        <v>44834</v>
      </c>
      <c r="B38" s="18">
        <f t="shared" ref="B38:B69" si="11">INDEX(FundNAV,ROW()-5)</f>
        <v>86.575800000000001</v>
      </c>
      <c r="C38" s="18">
        <f t="shared" si="7"/>
        <v>6.4088051473977226E-2</v>
      </c>
      <c r="D38" s="45">
        <f t="shared" ref="D38:D69" si="12">IFERROR(INDEX(BM_Value,MATCH(A38,BM_Dates,0)),NA())</f>
        <v>22979.45</v>
      </c>
      <c r="E38" s="18">
        <f t="shared" si="8"/>
        <v>-3.2051732976360436E-2</v>
      </c>
      <c r="F38" s="18">
        <f t="shared" ref="F38:F69" si="13">IF(ISNUMBER(C38),C38-$B$2,NA())</f>
        <v>5.8666384807310561E-2</v>
      </c>
      <c r="G38" s="18">
        <f t="shared" ref="G38:G69" si="14">IF(ISNUMBER(E38),E38-$B$2,NA())</f>
        <v>-3.7473399643027101E-2</v>
      </c>
      <c r="H38" s="18">
        <f t="shared" ref="H38:H69" si="15">IF(AND(ISNUMBER(C38),ISNUMBER(E38)),C38-E38,NA())</f>
        <v>9.6139784450337662E-2</v>
      </c>
      <c r="I38" s="18">
        <f t="shared" ref="I38:I69" si="16">IF(ROW()=6,B38,MAX(B38,I37))</f>
        <v>86.575800000000001</v>
      </c>
      <c r="J38" s="18">
        <f t="shared" si="9"/>
        <v>0</v>
      </c>
    </row>
    <row r="39" spans="1:10" x14ac:dyDescent="0.3">
      <c r="A39" s="43">
        <f t="shared" si="10"/>
        <v>44865</v>
      </c>
      <c r="B39" s="18">
        <f t="shared" si="11"/>
        <v>88.990099999999998</v>
      </c>
      <c r="C39" s="18">
        <f t="shared" ref="C39:C70" si="17">IF(ROW()=6,NA(),INDEX(FundNAV,ROW()-5)/INDEX(FundNAV,ROW()-6-1)-1)</f>
        <v>4.2281515247698298E-2</v>
      </c>
      <c r="D39" s="45">
        <f t="shared" si="12"/>
        <v>23919.759999999998</v>
      </c>
      <c r="E39" s="18">
        <f t="shared" ref="E39:E70" si="18">IF(OR(ROW()=6,ISNA(D39)),NA(),D39/D38-1)</f>
        <v>4.0919604255106101E-2</v>
      </c>
      <c r="F39" s="18">
        <f t="shared" si="13"/>
        <v>3.6859848581031633E-2</v>
      </c>
      <c r="G39" s="18">
        <f t="shared" si="14"/>
        <v>3.5497937588439436E-2</v>
      </c>
      <c r="H39" s="18">
        <f t="shared" si="15"/>
        <v>1.3619109925921968E-3</v>
      </c>
      <c r="I39" s="18">
        <f t="shared" si="16"/>
        <v>88.990099999999998</v>
      </c>
      <c r="J39" s="18">
        <f t="shared" ref="J39:J70" si="19">IF(I39=0,NA(),B39/I39-1)</f>
        <v>0</v>
      </c>
    </row>
    <row r="40" spans="1:10" x14ac:dyDescent="0.3">
      <c r="A40" s="43">
        <f t="shared" si="10"/>
        <v>44895</v>
      </c>
      <c r="B40" s="18">
        <f t="shared" si="11"/>
        <v>91.430599999999998</v>
      </c>
      <c r="C40" s="18">
        <f t="shared" si="17"/>
        <v>5.6075716308714441E-2</v>
      </c>
      <c r="D40" s="45">
        <f t="shared" si="12"/>
        <v>24738.49</v>
      </c>
      <c r="E40" s="18">
        <f t="shared" si="18"/>
        <v>3.4228186235982339E-2</v>
      </c>
      <c r="F40" s="18">
        <f t="shared" si="13"/>
        <v>5.0654049642047776E-2</v>
      </c>
      <c r="G40" s="18">
        <f t="shared" si="14"/>
        <v>2.880651956931567E-2</v>
      </c>
      <c r="H40" s="18">
        <f t="shared" si="15"/>
        <v>2.1847530072732102E-2</v>
      </c>
      <c r="I40" s="18">
        <f t="shared" si="16"/>
        <v>91.430599999999998</v>
      </c>
      <c r="J40" s="18">
        <f t="shared" si="19"/>
        <v>0</v>
      </c>
    </row>
    <row r="41" spans="1:10" x14ac:dyDescent="0.3">
      <c r="A41" s="43">
        <f t="shared" si="10"/>
        <v>44926</v>
      </c>
      <c r="B41" s="18">
        <f t="shared" si="11"/>
        <v>91.551299999999998</v>
      </c>
      <c r="C41" s="18">
        <f t="shared" si="17"/>
        <v>2.8780729541825423E-2</v>
      </c>
      <c r="D41" s="45">
        <f t="shared" si="12"/>
        <v>23967.119999999999</v>
      </c>
      <c r="E41" s="18">
        <f t="shared" si="18"/>
        <v>-3.1180965370158131E-2</v>
      </c>
      <c r="F41" s="18">
        <f t="shared" si="13"/>
        <v>2.3359062875158754E-2</v>
      </c>
      <c r="G41" s="18">
        <f t="shared" si="14"/>
        <v>-3.6602632036824796E-2</v>
      </c>
      <c r="H41" s="18">
        <f t="shared" si="15"/>
        <v>5.9961694911983554E-2</v>
      </c>
      <c r="I41" s="18">
        <f t="shared" si="16"/>
        <v>91.551299999999998</v>
      </c>
      <c r="J41" s="18">
        <f t="shared" si="19"/>
        <v>0</v>
      </c>
    </row>
    <row r="42" spans="1:10" x14ac:dyDescent="0.3">
      <c r="A42" s="43">
        <f t="shared" si="10"/>
        <v>44957</v>
      </c>
      <c r="B42" s="18">
        <f t="shared" si="11"/>
        <v>90.233000000000004</v>
      </c>
      <c r="C42" s="18">
        <f t="shared" si="17"/>
        <v>-1.3098459377932525E-2</v>
      </c>
      <c r="D42" s="45">
        <f t="shared" si="12"/>
        <v>23175.05</v>
      </c>
      <c r="E42" s="18">
        <f t="shared" si="18"/>
        <v>-3.3048192690652844E-2</v>
      </c>
      <c r="F42" s="18">
        <f t="shared" si="13"/>
        <v>-1.8520126044599194E-2</v>
      </c>
      <c r="G42" s="18">
        <f t="shared" si="14"/>
        <v>-3.8469859357319509E-2</v>
      </c>
      <c r="H42" s="18">
        <f t="shared" si="15"/>
        <v>1.9949733312720319E-2</v>
      </c>
      <c r="I42" s="18">
        <f t="shared" si="16"/>
        <v>91.551299999999998</v>
      </c>
      <c r="J42" s="18">
        <f t="shared" si="19"/>
        <v>-1.4399577067720437E-2</v>
      </c>
    </row>
    <row r="43" spans="1:10" x14ac:dyDescent="0.3">
      <c r="A43" s="43">
        <f t="shared" si="10"/>
        <v>44985</v>
      </c>
      <c r="B43" s="18">
        <f t="shared" si="11"/>
        <v>87.061700000000002</v>
      </c>
      <c r="C43" s="18">
        <f t="shared" si="17"/>
        <v>-4.9039172573191125E-2</v>
      </c>
      <c r="D43" s="45">
        <f t="shared" si="12"/>
        <v>22546.35</v>
      </c>
      <c r="E43" s="18">
        <f t="shared" si="18"/>
        <v>-2.7128312560275036E-2</v>
      </c>
      <c r="F43" s="18">
        <f t="shared" si="13"/>
        <v>-5.446083923985779E-2</v>
      </c>
      <c r="G43" s="18">
        <f t="shared" si="14"/>
        <v>-3.2549979226941701E-2</v>
      </c>
      <c r="H43" s="18">
        <f t="shared" si="15"/>
        <v>-2.1910860012916089E-2</v>
      </c>
      <c r="I43" s="18">
        <f t="shared" si="16"/>
        <v>91.551299999999998</v>
      </c>
      <c r="J43" s="18">
        <f t="shared" si="19"/>
        <v>-4.9039172573191125E-2</v>
      </c>
    </row>
    <row r="44" spans="1:10" x14ac:dyDescent="0.3">
      <c r="A44" s="43">
        <f t="shared" si="10"/>
        <v>45016</v>
      </c>
      <c r="B44" s="18">
        <f t="shared" si="11"/>
        <v>88.200500000000005</v>
      </c>
      <c r="C44" s="18">
        <f t="shared" si="17"/>
        <v>-2.2525018563053445E-2</v>
      </c>
      <c r="D44" s="45">
        <f t="shared" si="12"/>
        <v>22609.54</v>
      </c>
      <c r="E44" s="18">
        <f t="shared" si="18"/>
        <v>2.8026709423034646E-3</v>
      </c>
      <c r="F44" s="18">
        <f t="shared" si="13"/>
        <v>-2.7946685229720113E-2</v>
      </c>
      <c r="G44" s="18">
        <f t="shared" si="14"/>
        <v>-2.6189957243632029E-3</v>
      </c>
      <c r="H44" s="18">
        <f t="shared" si="15"/>
        <v>-2.532768950535691E-2</v>
      </c>
      <c r="I44" s="18">
        <f t="shared" si="16"/>
        <v>91.551299999999998</v>
      </c>
      <c r="J44" s="18">
        <f t="shared" si="19"/>
        <v>-3.6600244890023337E-2</v>
      </c>
    </row>
    <row r="45" spans="1:10" x14ac:dyDescent="0.3">
      <c r="A45" s="43">
        <f t="shared" si="10"/>
        <v>45046</v>
      </c>
      <c r="B45" s="18">
        <f t="shared" si="11"/>
        <v>91.859499999999997</v>
      </c>
      <c r="C45" s="18">
        <f t="shared" si="17"/>
        <v>5.5108044065300676E-2</v>
      </c>
      <c r="D45" s="45">
        <f t="shared" si="12"/>
        <v>23643.94</v>
      </c>
      <c r="E45" s="18">
        <f t="shared" si="18"/>
        <v>4.5750599083395738E-2</v>
      </c>
      <c r="F45" s="18">
        <f t="shared" si="13"/>
        <v>4.9686377398634012E-2</v>
      </c>
      <c r="G45" s="18">
        <f t="shared" si="14"/>
        <v>4.0328932416729073E-2</v>
      </c>
      <c r="H45" s="18">
        <f t="shared" si="15"/>
        <v>9.3574449819049388E-3</v>
      </c>
      <c r="I45" s="18">
        <f t="shared" si="16"/>
        <v>91.859499999999997</v>
      </c>
      <c r="J45" s="18">
        <f t="shared" si="19"/>
        <v>0</v>
      </c>
    </row>
    <row r="46" spans="1:10" x14ac:dyDescent="0.3">
      <c r="A46" s="43">
        <f t="shared" si="10"/>
        <v>45077</v>
      </c>
      <c r="B46" s="18">
        <f t="shared" si="11"/>
        <v>91.222099999999998</v>
      </c>
      <c r="C46" s="18">
        <f t="shared" si="17"/>
        <v>3.4258309193258452E-2</v>
      </c>
      <c r="D46" s="45">
        <f t="shared" si="12"/>
        <v>24538.09</v>
      </c>
      <c r="E46" s="18">
        <f t="shared" si="18"/>
        <v>3.7817301177384133E-2</v>
      </c>
      <c r="F46" s="18">
        <f t="shared" si="13"/>
        <v>2.8836642526591783E-2</v>
      </c>
      <c r="G46" s="18">
        <f t="shared" si="14"/>
        <v>3.2395634510717468E-2</v>
      </c>
      <c r="H46" s="18">
        <f t="shared" si="15"/>
        <v>-3.5589919841256812E-3</v>
      </c>
      <c r="I46" s="18">
        <f t="shared" si="16"/>
        <v>91.859499999999997</v>
      </c>
      <c r="J46" s="18">
        <f t="shared" si="19"/>
        <v>-6.9388577120493844E-3</v>
      </c>
    </row>
    <row r="47" spans="1:10" x14ac:dyDescent="0.3">
      <c r="A47" s="43">
        <f t="shared" si="10"/>
        <v>45107</v>
      </c>
      <c r="B47" s="18">
        <f t="shared" si="11"/>
        <v>94.628799999999998</v>
      </c>
      <c r="C47" s="18">
        <f t="shared" si="17"/>
        <v>3.0147126862218876E-2</v>
      </c>
      <c r="D47" s="45">
        <f t="shared" si="12"/>
        <v>25605.81</v>
      </c>
      <c r="E47" s="18">
        <f t="shared" si="18"/>
        <v>4.3512759143030433E-2</v>
      </c>
      <c r="F47" s="18">
        <f t="shared" si="13"/>
        <v>2.4725460195552208E-2</v>
      </c>
      <c r="G47" s="18">
        <f t="shared" si="14"/>
        <v>3.8091092476363768E-2</v>
      </c>
      <c r="H47" s="18">
        <f t="shared" si="15"/>
        <v>-1.3365632280811557E-2</v>
      </c>
      <c r="I47" s="18">
        <f t="shared" si="16"/>
        <v>94.628799999999998</v>
      </c>
      <c r="J47" s="18">
        <f t="shared" si="19"/>
        <v>0</v>
      </c>
    </row>
    <row r="48" spans="1:10" x14ac:dyDescent="0.3">
      <c r="A48" s="43">
        <f t="shared" si="10"/>
        <v>45138</v>
      </c>
      <c r="B48" s="18">
        <f t="shared" si="11"/>
        <v>99.491399999999999</v>
      </c>
      <c r="C48" s="18">
        <f t="shared" si="17"/>
        <v>9.0650182357126186E-2</v>
      </c>
      <c r="D48" s="45">
        <f t="shared" si="12"/>
        <v>26612.52</v>
      </c>
      <c r="E48" s="18">
        <f t="shared" si="18"/>
        <v>3.9315686557074292E-2</v>
      </c>
      <c r="F48" s="18">
        <f t="shared" si="13"/>
        <v>8.5228515690459514E-2</v>
      </c>
      <c r="G48" s="18">
        <f t="shared" si="14"/>
        <v>3.3894019890407627E-2</v>
      </c>
      <c r="H48" s="18">
        <f t="shared" si="15"/>
        <v>5.1334495800051894E-2</v>
      </c>
      <c r="I48" s="18">
        <f t="shared" si="16"/>
        <v>99.491399999999999</v>
      </c>
      <c r="J48" s="18">
        <f t="shared" si="19"/>
        <v>0</v>
      </c>
    </row>
    <row r="49" spans="1:10" x14ac:dyDescent="0.3">
      <c r="A49" s="43">
        <f t="shared" si="10"/>
        <v>45169</v>
      </c>
      <c r="B49" s="18">
        <f t="shared" si="11"/>
        <v>98.432000000000002</v>
      </c>
      <c r="C49" s="18">
        <f t="shared" si="17"/>
        <v>4.0190724176994763E-2</v>
      </c>
      <c r="D49" s="45">
        <f t="shared" si="12"/>
        <v>26451.77</v>
      </c>
      <c r="E49" s="18">
        <f t="shared" si="18"/>
        <v>-6.04039001191925E-3</v>
      </c>
      <c r="F49" s="18">
        <f t="shared" si="13"/>
        <v>3.4769057510328098E-2</v>
      </c>
      <c r="G49" s="18">
        <f t="shared" si="14"/>
        <v>-1.1462056678585918E-2</v>
      </c>
      <c r="H49" s="18">
        <f t="shared" si="15"/>
        <v>4.6231114188914013E-2</v>
      </c>
      <c r="I49" s="18">
        <f t="shared" si="16"/>
        <v>99.491399999999999</v>
      </c>
      <c r="J49" s="18">
        <f t="shared" si="19"/>
        <v>-1.0648156524081465E-2</v>
      </c>
    </row>
    <row r="50" spans="1:10" x14ac:dyDescent="0.3">
      <c r="A50" s="43">
        <f t="shared" si="10"/>
        <v>45199</v>
      </c>
      <c r="B50" s="18">
        <f t="shared" si="11"/>
        <v>99.126499999999993</v>
      </c>
      <c r="C50" s="18">
        <f t="shared" si="17"/>
        <v>-3.6676536866503406E-3</v>
      </c>
      <c r="D50" s="45">
        <f t="shared" si="12"/>
        <v>27031.74</v>
      </c>
      <c r="E50" s="18">
        <f t="shared" si="18"/>
        <v>2.1925564905486583E-2</v>
      </c>
      <c r="F50" s="18">
        <f t="shared" si="13"/>
        <v>-9.089320353317009E-3</v>
      </c>
      <c r="G50" s="18">
        <f t="shared" si="14"/>
        <v>1.6503898238819915E-2</v>
      </c>
      <c r="H50" s="18">
        <f t="shared" si="15"/>
        <v>-2.5593218592136924E-2</v>
      </c>
      <c r="I50" s="18">
        <f t="shared" si="16"/>
        <v>99.491399999999999</v>
      </c>
      <c r="J50" s="18">
        <f t="shared" si="19"/>
        <v>-3.6676536866503406E-3</v>
      </c>
    </row>
    <row r="51" spans="1:10" x14ac:dyDescent="0.3">
      <c r="A51" s="43">
        <f t="shared" si="10"/>
        <v>45230</v>
      </c>
      <c r="B51" s="18">
        <f t="shared" si="11"/>
        <v>98.960999999999999</v>
      </c>
      <c r="C51" s="18">
        <f t="shared" si="17"/>
        <v>5.374268530559112E-3</v>
      </c>
      <c r="D51" s="45">
        <f t="shared" si="12"/>
        <v>26281.759999999998</v>
      </c>
      <c r="E51" s="18">
        <f t="shared" si="18"/>
        <v>-2.7744421927704321E-2</v>
      </c>
      <c r="F51" s="18">
        <f t="shared" si="13"/>
        <v>-4.7398136107555493E-5</v>
      </c>
      <c r="G51" s="18">
        <f t="shared" si="14"/>
        <v>-3.3166088594370986E-2</v>
      </c>
      <c r="H51" s="18">
        <f t="shared" si="15"/>
        <v>3.3118690458263433E-2</v>
      </c>
      <c r="I51" s="18">
        <f t="shared" si="16"/>
        <v>99.491399999999999</v>
      </c>
      <c r="J51" s="18">
        <f t="shared" si="19"/>
        <v>-5.3311140460381434E-3</v>
      </c>
    </row>
    <row r="52" spans="1:10" x14ac:dyDescent="0.3">
      <c r="A52" s="43">
        <f t="shared" si="10"/>
        <v>45260</v>
      </c>
      <c r="B52" s="18">
        <f t="shared" si="11"/>
        <v>105.9502</v>
      </c>
      <c r="C52" s="18">
        <f t="shared" si="17"/>
        <v>6.8838302572975074E-2</v>
      </c>
      <c r="D52" s="45">
        <f t="shared" si="12"/>
        <v>28161.16</v>
      </c>
      <c r="E52" s="18">
        <f t="shared" si="18"/>
        <v>7.150967058522717E-2</v>
      </c>
      <c r="F52" s="18">
        <f t="shared" si="13"/>
        <v>6.3416635906308402E-2</v>
      </c>
      <c r="G52" s="18">
        <f t="shared" si="14"/>
        <v>6.6088003918560498E-2</v>
      </c>
      <c r="H52" s="18">
        <f t="shared" si="15"/>
        <v>-2.6713680122520955E-3</v>
      </c>
      <c r="I52" s="18">
        <f t="shared" si="16"/>
        <v>105.9502</v>
      </c>
      <c r="J52" s="18">
        <f t="shared" si="19"/>
        <v>0</v>
      </c>
    </row>
    <row r="53" spans="1:10" x14ac:dyDescent="0.3">
      <c r="A53" s="43">
        <f t="shared" si="10"/>
        <v>45291</v>
      </c>
      <c r="B53" s="18">
        <f t="shared" si="11"/>
        <v>113.3913</v>
      </c>
      <c r="C53" s="18">
        <f t="shared" si="17"/>
        <v>0.14581804953466526</v>
      </c>
      <c r="D53" s="45">
        <f t="shared" si="12"/>
        <v>30417.8</v>
      </c>
      <c r="E53" s="18">
        <f t="shared" si="18"/>
        <v>8.0133062700542101E-2</v>
      </c>
      <c r="F53" s="18">
        <f t="shared" si="13"/>
        <v>0.1403963828679986</v>
      </c>
      <c r="G53" s="18">
        <f t="shared" si="14"/>
        <v>7.471139603387543E-2</v>
      </c>
      <c r="H53" s="18">
        <f t="shared" si="15"/>
        <v>6.568498683412316E-2</v>
      </c>
      <c r="I53" s="18">
        <f t="shared" si="16"/>
        <v>113.3913</v>
      </c>
      <c r="J53" s="18">
        <f t="shared" si="19"/>
        <v>0</v>
      </c>
    </row>
    <row r="54" spans="1:10" x14ac:dyDescent="0.3">
      <c r="A54" s="43">
        <f t="shared" si="10"/>
        <v>45322</v>
      </c>
      <c r="B54" s="18">
        <f t="shared" si="11"/>
        <v>120.5412</v>
      </c>
      <c r="C54" s="18">
        <f t="shared" si="17"/>
        <v>0.13771564376471224</v>
      </c>
      <c r="D54" s="45">
        <f t="shared" si="12"/>
        <v>31011.17</v>
      </c>
      <c r="E54" s="18">
        <f t="shared" si="18"/>
        <v>1.9507327946136854E-2</v>
      </c>
      <c r="F54" s="18">
        <f t="shared" si="13"/>
        <v>0.13229397709804558</v>
      </c>
      <c r="G54" s="18">
        <f t="shared" si="14"/>
        <v>1.4085661279470186E-2</v>
      </c>
      <c r="H54" s="18">
        <f t="shared" si="15"/>
        <v>0.11820831581857538</v>
      </c>
      <c r="I54" s="18">
        <f t="shared" si="16"/>
        <v>120.5412</v>
      </c>
      <c r="J54" s="18">
        <f t="shared" si="19"/>
        <v>0</v>
      </c>
    </row>
    <row r="55" spans="1:10" x14ac:dyDescent="0.3">
      <c r="A55" s="43">
        <f t="shared" si="10"/>
        <v>45351</v>
      </c>
      <c r="B55" s="18">
        <f t="shared" si="11"/>
        <v>126.8509</v>
      </c>
      <c r="C55" s="18">
        <f t="shared" si="17"/>
        <v>0.11870046467409745</v>
      </c>
      <c r="D55" s="45">
        <f t="shared" si="12"/>
        <v>31499.31</v>
      </c>
      <c r="E55" s="18">
        <f t="shared" si="18"/>
        <v>1.5740779854484854E-2</v>
      </c>
      <c r="F55" s="18">
        <f t="shared" si="13"/>
        <v>0.11327879800743078</v>
      </c>
      <c r="G55" s="18">
        <f t="shared" si="14"/>
        <v>1.0319113187818186E-2</v>
      </c>
      <c r="H55" s="18">
        <f t="shared" si="15"/>
        <v>0.1029596848196126</v>
      </c>
      <c r="I55" s="18">
        <f t="shared" si="16"/>
        <v>126.8509</v>
      </c>
      <c r="J55" s="18">
        <f t="shared" si="19"/>
        <v>0</v>
      </c>
    </row>
    <row r="56" spans="1:10" x14ac:dyDescent="0.3">
      <c r="A56" s="43">
        <f t="shared" si="10"/>
        <v>45382</v>
      </c>
      <c r="B56" s="18">
        <f t="shared" si="11"/>
        <v>128.4136</v>
      </c>
      <c r="C56" s="18">
        <f t="shared" si="17"/>
        <v>6.5308790687333529E-2</v>
      </c>
      <c r="D56" s="45">
        <f t="shared" si="12"/>
        <v>31499.32</v>
      </c>
      <c r="E56" s="18">
        <f t="shared" si="18"/>
        <v>3.1746727136017228E-7</v>
      </c>
      <c r="F56" s="18">
        <f t="shared" si="13"/>
        <v>5.9887124020666864E-2</v>
      </c>
      <c r="G56" s="18">
        <f t="shared" si="14"/>
        <v>-5.4213491993953073E-3</v>
      </c>
      <c r="H56" s="18">
        <f t="shared" si="15"/>
        <v>6.5308473220062169E-2</v>
      </c>
      <c r="I56" s="18">
        <f t="shared" si="16"/>
        <v>128.4136</v>
      </c>
      <c r="J56" s="18">
        <f t="shared" si="19"/>
        <v>0</v>
      </c>
    </row>
    <row r="57" spans="1:10" x14ac:dyDescent="0.3">
      <c r="A57" s="43">
        <f t="shared" si="10"/>
        <v>45412</v>
      </c>
      <c r="B57" s="18">
        <f t="shared" si="11"/>
        <v>136.8339</v>
      </c>
      <c r="C57" s="18">
        <f t="shared" si="17"/>
        <v>7.8698692717197982E-2</v>
      </c>
      <c r="D57" s="45">
        <f t="shared" si="12"/>
        <v>32927.379999999997</v>
      </c>
      <c r="E57" s="18">
        <f t="shared" si="18"/>
        <v>4.5336216781822536E-2</v>
      </c>
      <c r="F57" s="18">
        <f t="shared" si="13"/>
        <v>7.327702605053131E-2</v>
      </c>
      <c r="G57" s="18">
        <f t="shared" si="14"/>
        <v>3.9914550115155871E-2</v>
      </c>
      <c r="H57" s="18">
        <f t="shared" si="15"/>
        <v>3.3362475935375446E-2</v>
      </c>
      <c r="I57" s="18">
        <f t="shared" si="16"/>
        <v>136.8339</v>
      </c>
      <c r="J57" s="18">
        <f t="shared" si="19"/>
        <v>0</v>
      </c>
    </row>
    <row r="58" spans="1:10" x14ac:dyDescent="0.3">
      <c r="A58" s="43">
        <f t="shared" si="10"/>
        <v>45443</v>
      </c>
      <c r="B58" s="18">
        <f t="shared" si="11"/>
        <v>138.8331</v>
      </c>
      <c r="C58" s="18">
        <f t="shared" si="17"/>
        <v>8.1140159609262463E-2</v>
      </c>
      <c r="D58" s="45">
        <f t="shared" si="12"/>
        <v>33168.199999999997</v>
      </c>
      <c r="E58" s="18">
        <f t="shared" si="18"/>
        <v>7.3136702646854346E-3</v>
      </c>
      <c r="F58" s="18">
        <f t="shared" si="13"/>
        <v>7.5718492942595791E-2</v>
      </c>
      <c r="G58" s="18">
        <f t="shared" si="14"/>
        <v>1.8920035980187671E-3</v>
      </c>
      <c r="H58" s="18">
        <f t="shared" si="15"/>
        <v>7.3826489344577029E-2</v>
      </c>
      <c r="I58" s="18">
        <f t="shared" si="16"/>
        <v>138.8331</v>
      </c>
      <c r="J58" s="18">
        <f t="shared" si="19"/>
        <v>0</v>
      </c>
    </row>
    <row r="59" spans="1:10" x14ac:dyDescent="0.3">
      <c r="A59" s="43">
        <f t="shared" si="10"/>
        <v>45473</v>
      </c>
      <c r="B59" s="18">
        <f t="shared" si="11"/>
        <v>140.9376</v>
      </c>
      <c r="C59" s="18">
        <f t="shared" si="17"/>
        <v>2.9990375192112451E-2</v>
      </c>
      <c r="D59" s="45">
        <f t="shared" si="12"/>
        <v>35506.97</v>
      </c>
      <c r="E59" s="18">
        <f t="shared" si="18"/>
        <v>7.0512418521354814E-2</v>
      </c>
      <c r="F59" s="18">
        <f t="shared" si="13"/>
        <v>2.4568708525445782E-2</v>
      </c>
      <c r="G59" s="18">
        <f t="shared" si="14"/>
        <v>6.5090751854688142E-2</v>
      </c>
      <c r="H59" s="18">
        <f t="shared" si="15"/>
        <v>-4.0522043329242363E-2</v>
      </c>
      <c r="I59" s="18">
        <f t="shared" si="16"/>
        <v>140.9376</v>
      </c>
      <c r="J59" s="18">
        <f t="shared" si="19"/>
        <v>0</v>
      </c>
    </row>
    <row r="60" spans="1:10" x14ac:dyDescent="0.3">
      <c r="A60" s="43">
        <f t="shared" si="10"/>
        <v>45504</v>
      </c>
      <c r="B60" s="18">
        <f t="shared" si="11"/>
        <v>142.17070000000001</v>
      </c>
      <c r="C60" s="18">
        <f t="shared" si="17"/>
        <v>2.4040376538448038E-2</v>
      </c>
      <c r="D60" s="45">
        <f t="shared" si="12"/>
        <v>37066.080000000002</v>
      </c>
      <c r="E60" s="18">
        <f t="shared" si="18"/>
        <v>4.3909970352299821E-2</v>
      </c>
      <c r="F60" s="18">
        <f t="shared" si="13"/>
        <v>1.861870987178137E-2</v>
      </c>
      <c r="G60" s="18">
        <f t="shared" si="14"/>
        <v>3.8488303685633156E-2</v>
      </c>
      <c r="H60" s="18">
        <f t="shared" si="15"/>
        <v>-1.9869593813851782E-2</v>
      </c>
      <c r="I60" s="18">
        <f t="shared" si="16"/>
        <v>142.17070000000001</v>
      </c>
      <c r="J60" s="18">
        <f t="shared" si="19"/>
        <v>0</v>
      </c>
    </row>
    <row r="61" spans="1:10" x14ac:dyDescent="0.3">
      <c r="A61" s="43">
        <f t="shared" si="10"/>
        <v>45535</v>
      </c>
      <c r="B61" s="18">
        <f t="shared" si="11"/>
        <v>141.3777</v>
      </c>
      <c r="C61" s="18">
        <f t="shared" si="17"/>
        <v>3.1226585382466698E-3</v>
      </c>
      <c r="D61" s="45">
        <f t="shared" si="12"/>
        <v>37449.919999999998</v>
      </c>
      <c r="E61" s="18">
        <f t="shared" si="18"/>
        <v>1.0355559584396268E-2</v>
      </c>
      <c r="F61" s="18">
        <f t="shared" si="13"/>
        <v>-2.2990081284199977E-3</v>
      </c>
      <c r="G61" s="18">
        <f t="shared" si="14"/>
        <v>4.9338929177296003E-3</v>
      </c>
      <c r="H61" s="18">
        <f t="shared" si="15"/>
        <v>-7.2329010461495979E-3</v>
      </c>
      <c r="I61" s="18">
        <f t="shared" si="16"/>
        <v>142.17070000000001</v>
      </c>
      <c r="J61" s="18">
        <f t="shared" si="19"/>
        <v>-5.5778018958899667E-3</v>
      </c>
    </row>
    <row r="62" spans="1:10" x14ac:dyDescent="0.3">
      <c r="A62" s="43">
        <f t="shared" si="10"/>
        <v>45565</v>
      </c>
      <c r="B62" s="18">
        <f t="shared" si="11"/>
        <v>149.45050000000001</v>
      </c>
      <c r="C62" s="18">
        <f t="shared" si="17"/>
        <v>5.1204643432155805E-2</v>
      </c>
      <c r="D62" s="45">
        <f t="shared" si="12"/>
        <v>38261.39</v>
      </c>
      <c r="E62" s="18">
        <f t="shared" si="18"/>
        <v>2.1668137074792204E-2</v>
      </c>
      <c r="F62" s="18">
        <f t="shared" si="13"/>
        <v>4.578297676548914E-2</v>
      </c>
      <c r="G62" s="18">
        <f t="shared" si="14"/>
        <v>1.6246470408125536E-2</v>
      </c>
      <c r="H62" s="18">
        <f t="shared" si="15"/>
        <v>2.9536506357363601E-2</v>
      </c>
      <c r="I62" s="18">
        <f t="shared" si="16"/>
        <v>149.45050000000001</v>
      </c>
      <c r="J62" s="18">
        <f t="shared" si="19"/>
        <v>0</v>
      </c>
    </row>
    <row r="63" spans="1:10" x14ac:dyDescent="0.3">
      <c r="A63" s="43">
        <f t="shared" si="10"/>
        <v>45596</v>
      </c>
      <c r="B63" s="18">
        <f t="shared" si="11"/>
        <v>145.16499999999999</v>
      </c>
      <c r="C63" s="18">
        <f t="shared" si="17"/>
        <v>2.6788524640024569E-2</v>
      </c>
      <c r="D63" s="45">
        <f t="shared" si="12"/>
        <v>35830.980000000003</v>
      </c>
      <c r="E63" s="18">
        <f t="shared" si="18"/>
        <v>-6.3521215512557072E-2</v>
      </c>
      <c r="F63" s="18">
        <f t="shared" si="13"/>
        <v>2.1366857973357901E-2</v>
      </c>
      <c r="G63" s="18">
        <f t="shared" si="14"/>
        <v>-6.8942882179223744E-2</v>
      </c>
      <c r="H63" s="18">
        <f t="shared" si="15"/>
        <v>9.0309740152581641E-2</v>
      </c>
      <c r="I63" s="18">
        <f t="shared" si="16"/>
        <v>149.45050000000001</v>
      </c>
      <c r="J63" s="18">
        <f t="shared" si="19"/>
        <v>-2.8675046252772729E-2</v>
      </c>
    </row>
    <row r="64" spans="1:10" x14ac:dyDescent="0.3">
      <c r="A64" s="43">
        <f t="shared" si="10"/>
        <v>45626</v>
      </c>
      <c r="B64" s="18">
        <f t="shared" si="11"/>
        <v>146.48949999999999</v>
      </c>
      <c r="C64" s="18">
        <f t="shared" si="17"/>
        <v>-1.981258008504494E-2</v>
      </c>
      <c r="D64" s="45">
        <f t="shared" si="12"/>
        <v>35847.4</v>
      </c>
      <c r="E64" s="18">
        <f t="shared" si="18"/>
        <v>4.5826265427284518E-4</v>
      </c>
      <c r="F64" s="18">
        <f t="shared" si="13"/>
        <v>-2.5234246751711608E-2</v>
      </c>
      <c r="G64" s="18">
        <f t="shared" si="14"/>
        <v>-4.9634040123938223E-3</v>
      </c>
      <c r="H64" s="18">
        <f t="shared" si="15"/>
        <v>-2.0270842739317785E-2</v>
      </c>
      <c r="I64" s="18">
        <f t="shared" si="16"/>
        <v>149.45050000000001</v>
      </c>
      <c r="J64" s="18">
        <f t="shared" si="19"/>
        <v>-1.981258008504494E-2</v>
      </c>
    </row>
    <row r="65" spans="1:10" x14ac:dyDescent="0.3">
      <c r="A65" s="43">
        <f t="shared" si="10"/>
        <v>45657</v>
      </c>
      <c r="B65" s="18">
        <f t="shared" si="11"/>
        <v>144.6593</v>
      </c>
      <c r="C65" s="18">
        <f t="shared" si="17"/>
        <v>-3.4836220852133559E-3</v>
      </c>
      <c r="D65" s="45">
        <f t="shared" si="12"/>
        <v>35357.9</v>
      </c>
      <c r="E65" s="18">
        <f t="shared" si="18"/>
        <v>-1.365510469378528E-2</v>
      </c>
      <c r="F65" s="18">
        <f t="shared" si="13"/>
        <v>-8.9052887518800243E-3</v>
      </c>
      <c r="G65" s="18">
        <f t="shared" si="14"/>
        <v>-1.9076771360451949E-2</v>
      </c>
      <c r="H65" s="18">
        <f t="shared" si="15"/>
        <v>1.0171482608571925E-2</v>
      </c>
      <c r="I65" s="18">
        <f t="shared" si="16"/>
        <v>149.45050000000001</v>
      </c>
      <c r="J65" s="18">
        <f t="shared" si="19"/>
        <v>-3.205877531356538E-2</v>
      </c>
    </row>
    <row r="66" spans="1:10" x14ac:dyDescent="0.3">
      <c r="A66" s="43">
        <f t="shared" si="10"/>
        <v>45688</v>
      </c>
      <c r="B66" s="18">
        <f t="shared" si="11"/>
        <v>139.68299999999999</v>
      </c>
      <c r="C66" s="18">
        <f t="shared" si="17"/>
        <v>-4.6464081043351202E-2</v>
      </c>
      <c r="D66" s="45">
        <f t="shared" si="12"/>
        <v>34130.93</v>
      </c>
      <c r="E66" s="18">
        <f t="shared" si="18"/>
        <v>-3.4701438716665867E-2</v>
      </c>
      <c r="F66" s="18">
        <f t="shared" si="13"/>
        <v>-5.1885747710017867E-2</v>
      </c>
      <c r="G66" s="18">
        <f t="shared" si="14"/>
        <v>-4.0123105383332532E-2</v>
      </c>
      <c r="H66" s="18">
        <f t="shared" si="15"/>
        <v>-1.1762642326685335E-2</v>
      </c>
      <c r="I66" s="18">
        <f t="shared" si="16"/>
        <v>149.45050000000001</v>
      </c>
      <c r="J66" s="18">
        <f t="shared" si="19"/>
        <v>-6.5356087801646812E-2</v>
      </c>
    </row>
    <row r="67" spans="1:10" x14ac:dyDescent="0.3">
      <c r="A67" s="43">
        <f t="shared" si="10"/>
        <v>45716</v>
      </c>
      <c r="B67" s="18">
        <f t="shared" si="11"/>
        <v>131.92850000000001</v>
      </c>
      <c r="C67" s="18">
        <f t="shared" si="17"/>
        <v>-8.8005403040108621E-2</v>
      </c>
      <c r="D67" s="45">
        <f t="shared" si="12"/>
        <v>31473.37</v>
      </c>
      <c r="E67" s="18">
        <f t="shared" si="18"/>
        <v>-7.7863685519263703E-2</v>
      </c>
      <c r="F67" s="18">
        <f t="shared" si="13"/>
        <v>-9.3427069706775293E-2</v>
      </c>
      <c r="G67" s="18">
        <f t="shared" si="14"/>
        <v>-8.3285352185930375E-2</v>
      </c>
      <c r="H67" s="18">
        <f t="shared" si="15"/>
        <v>-1.0141717520844917E-2</v>
      </c>
      <c r="I67" s="18">
        <f t="shared" si="16"/>
        <v>149.45050000000001</v>
      </c>
      <c r="J67" s="18">
        <f t="shared" si="19"/>
        <v>-0.11724283291123139</v>
      </c>
    </row>
    <row r="68" spans="1:10" x14ac:dyDescent="0.3">
      <c r="A68" s="43">
        <f t="shared" si="10"/>
        <v>45747</v>
      </c>
      <c r="B68" s="18">
        <f t="shared" si="11"/>
        <v>139.79820000000001</v>
      </c>
      <c r="C68" s="18">
        <f t="shared" si="17"/>
        <v>8.2472455488513674E-4</v>
      </c>
      <c r="D68" s="45">
        <f t="shared" si="12"/>
        <v>33787.56</v>
      </c>
      <c r="E68" s="18">
        <f t="shared" si="18"/>
        <v>7.3528509975258505E-2</v>
      </c>
      <c r="F68" s="18">
        <f t="shared" si="13"/>
        <v>-4.5969421117815308E-3</v>
      </c>
      <c r="G68" s="18">
        <f t="shared" si="14"/>
        <v>6.8106843308591833E-2</v>
      </c>
      <c r="H68" s="18">
        <f t="shared" si="15"/>
        <v>-7.2703785420373368E-2</v>
      </c>
      <c r="I68" s="18">
        <f t="shared" si="16"/>
        <v>149.45050000000001</v>
      </c>
      <c r="J68" s="18">
        <f t="shared" si="19"/>
        <v>-6.4585264017182897E-2</v>
      </c>
    </row>
    <row r="69" spans="1:10" x14ac:dyDescent="0.3">
      <c r="A69" s="43">
        <f t="shared" si="10"/>
        <v>45777</v>
      </c>
      <c r="B69" s="18">
        <f t="shared" si="11"/>
        <v>143.3409</v>
      </c>
      <c r="C69" s="18">
        <f t="shared" si="17"/>
        <v>8.6504432325085201E-2</v>
      </c>
      <c r="D69" s="45">
        <f t="shared" si="12"/>
        <v>34886.080000000002</v>
      </c>
      <c r="E69" s="18">
        <f t="shared" si="18"/>
        <v>3.2512557876331005E-2</v>
      </c>
      <c r="F69" s="18">
        <f t="shared" si="13"/>
        <v>8.1082765658418529E-2</v>
      </c>
      <c r="G69" s="18">
        <f t="shared" si="14"/>
        <v>2.7090891209664337E-2</v>
      </c>
      <c r="H69" s="18">
        <f t="shared" si="15"/>
        <v>5.3991874448754196E-2</v>
      </c>
      <c r="I69" s="18">
        <f t="shared" si="16"/>
        <v>149.45050000000001</v>
      </c>
      <c r="J69" s="18">
        <f t="shared" si="19"/>
        <v>-4.0880425291317191E-2</v>
      </c>
    </row>
    <row r="70" spans="1:10" x14ac:dyDescent="0.3">
      <c r="A70" s="43">
        <f t="shared" ref="A70:A76" si="20">INDEX(FundDates,ROW()-5)</f>
        <v>45808</v>
      </c>
      <c r="B70" s="18">
        <f t="shared" ref="B70:B76" si="21">INDEX(FundNAV,ROW()-5)</f>
        <v>149.3261</v>
      </c>
      <c r="C70" s="18">
        <f t="shared" si="17"/>
        <v>6.8154668658108486E-2</v>
      </c>
      <c r="D70" s="45">
        <f t="shared" ref="D70:D76" si="22">IFERROR(INDEX(BM_Value,MATCH(A70,BM_Dates,0)),NA())</f>
        <v>36160.26</v>
      </c>
      <c r="E70" s="18">
        <f t="shared" si="18"/>
        <v>3.652402333538185E-2</v>
      </c>
      <c r="F70" s="18">
        <f t="shared" ref="F70:F76" si="23">IF(ISNUMBER(C70),C70-$B$2,NA())</f>
        <v>6.2733001991441814E-2</v>
      </c>
      <c r="G70" s="18">
        <f t="shared" ref="G70:G76" si="24">IF(ISNUMBER(E70),E70-$B$2,NA())</f>
        <v>3.1102356668715182E-2</v>
      </c>
      <c r="H70" s="18">
        <f t="shared" ref="H70:H76" si="25">IF(AND(ISNUMBER(C70),ISNUMBER(E70)),C70-E70,NA())</f>
        <v>3.1630645322726636E-2</v>
      </c>
      <c r="I70" s="18">
        <f t="shared" ref="I70:I76" si="26">IF(ROW()=6,B70,MAX(B70,I69))</f>
        <v>149.45050000000001</v>
      </c>
      <c r="J70" s="18">
        <f t="shared" si="19"/>
        <v>-8.3238262836193844E-4</v>
      </c>
    </row>
    <row r="71" spans="1:10" x14ac:dyDescent="0.3">
      <c r="A71" s="43">
        <f t="shared" si="20"/>
        <v>45838</v>
      </c>
      <c r="B71" s="18">
        <f t="shared" si="21"/>
        <v>153.0351</v>
      </c>
      <c r="C71" s="18">
        <f t="shared" ref="C71:C76" si="27">IF(ROW()=6,NA(),INDEX(FundNAV,ROW()-5)/INDEX(FundNAV,ROW()-6-1)-1)</f>
        <v>6.7630383233257207E-2</v>
      </c>
      <c r="D71" s="45">
        <f t="shared" si="22"/>
        <v>37522.379999999997</v>
      </c>
      <c r="E71" s="18">
        <f t="shared" ref="E71:E76" si="28">IF(OR(ROW()=6,ISNA(D71)),NA(),D71/D70-1)</f>
        <v>3.7668976937665688E-2</v>
      </c>
      <c r="F71" s="18">
        <f t="shared" si="23"/>
        <v>6.2208716566590543E-2</v>
      </c>
      <c r="G71" s="18">
        <f t="shared" si="24"/>
        <v>3.2247310270999023E-2</v>
      </c>
      <c r="H71" s="18">
        <f t="shared" si="25"/>
        <v>2.9961406295591519E-2</v>
      </c>
      <c r="I71" s="18">
        <f t="shared" si="26"/>
        <v>153.0351</v>
      </c>
      <c r="J71" s="18">
        <f t="shared" ref="J71:J76" si="29">IF(I71=0,NA(),B71/I71-1)</f>
        <v>0</v>
      </c>
    </row>
    <row r="72" spans="1:10" x14ac:dyDescent="0.3">
      <c r="A72" s="43">
        <f t="shared" si="20"/>
        <v>45869</v>
      </c>
      <c r="B72" s="18">
        <f t="shared" si="21"/>
        <v>151.7141</v>
      </c>
      <c r="C72" s="18">
        <f t="shared" si="27"/>
        <v>1.5991846033613699E-2</v>
      </c>
      <c r="D72" s="45">
        <f t="shared" si="22"/>
        <v>36461.71</v>
      </c>
      <c r="E72" s="18">
        <f t="shared" si="28"/>
        <v>-2.8267663191940295E-2</v>
      </c>
      <c r="F72" s="18">
        <f t="shared" si="23"/>
        <v>1.0570179366947031E-2</v>
      </c>
      <c r="G72" s="18">
        <f t="shared" si="24"/>
        <v>-3.368932985860696E-2</v>
      </c>
      <c r="H72" s="18">
        <f t="shared" si="25"/>
        <v>4.4259509225553995E-2</v>
      </c>
      <c r="I72" s="18">
        <f t="shared" si="26"/>
        <v>153.0351</v>
      </c>
      <c r="J72" s="18">
        <f t="shared" si="29"/>
        <v>-8.6320066442273635E-3</v>
      </c>
    </row>
    <row r="73" spans="1:10" x14ac:dyDescent="0.3">
      <c r="A73" s="43">
        <f t="shared" si="20"/>
        <v>45900</v>
      </c>
      <c r="B73" s="18">
        <f t="shared" si="21"/>
        <v>150.69710000000001</v>
      </c>
      <c r="C73" s="18">
        <f t="shared" si="27"/>
        <v>-1.5277540904014786E-2</v>
      </c>
      <c r="D73" s="45">
        <f t="shared" si="22"/>
        <v>35799.379999999997</v>
      </c>
      <c r="E73" s="18">
        <f t="shared" si="28"/>
        <v>-1.8165083316169284E-2</v>
      </c>
      <c r="F73" s="18">
        <f t="shared" si="23"/>
        <v>-2.0699207570681454E-2</v>
      </c>
      <c r="G73" s="18">
        <f t="shared" si="24"/>
        <v>-2.3586749982835952E-2</v>
      </c>
      <c r="H73" s="18">
        <f t="shared" si="25"/>
        <v>2.8875424121544979E-3</v>
      </c>
      <c r="I73" s="18">
        <f t="shared" si="26"/>
        <v>153.0351</v>
      </c>
      <c r="J73" s="18">
        <f t="shared" si="29"/>
        <v>-1.5277540904014786E-2</v>
      </c>
    </row>
    <row r="74" spans="1:10" x14ac:dyDescent="0.3">
      <c r="A74" s="43">
        <f t="shared" si="20"/>
        <v>45930</v>
      </c>
      <c r="B74" s="18">
        <f t="shared" si="21"/>
        <v>156.14330000000001</v>
      </c>
      <c r="C74" s="18">
        <f t="shared" si="27"/>
        <v>2.9194386019493201E-2</v>
      </c>
      <c r="D74" s="45">
        <f t="shared" si="22"/>
        <v>36248.22</v>
      </c>
      <c r="E74" s="18">
        <f t="shared" si="28"/>
        <v>1.2537647300037147E-2</v>
      </c>
      <c r="F74" s="18">
        <f t="shared" si="23"/>
        <v>2.3772719352826533E-2</v>
      </c>
      <c r="G74" s="18">
        <f t="shared" si="24"/>
        <v>7.1159806333704794E-3</v>
      </c>
      <c r="H74" s="18">
        <f t="shared" si="25"/>
        <v>1.6656738719456055E-2</v>
      </c>
      <c r="I74" s="18">
        <f t="shared" si="26"/>
        <v>156.14330000000001</v>
      </c>
      <c r="J74" s="18">
        <f t="shared" si="29"/>
        <v>0</v>
      </c>
    </row>
    <row r="75" spans="1:10" x14ac:dyDescent="0.3">
      <c r="A75" s="43">
        <f t="shared" si="20"/>
        <v>45961</v>
      </c>
      <c r="B75" s="18">
        <f t="shared" si="21"/>
        <v>162.8732</v>
      </c>
      <c r="C75" s="18">
        <f t="shared" si="27"/>
        <v>8.0798502426390417E-2</v>
      </c>
      <c r="D75" s="45">
        <f t="shared" si="22"/>
        <v>37822.449999999997</v>
      </c>
      <c r="E75" s="18">
        <f t="shared" si="28"/>
        <v>4.3429167004614078E-2</v>
      </c>
      <c r="F75" s="18">
        <f t="shared" si="23"/>
        <v>7.5376835759723745E-2</v>
      </c>
      <c r="G75" s="18">
        <f t="shared" si="24"/>
        <v>3.8007500337947413E-2</v>
      </c>
      <c r="H75" s="18">
        <f t="shared" si="25"/>
        <v>3.736933542177634E-2</v>
      </c>
      <c r="I75" s="18">
        <f t="shared" si="26"/>
        <v>162.8732</v>
      </c>
      <c r="J75" s="18">
        <f t="shared" si="29"/>
        <v>0</v>
      </c>
    </row>
    <row r="76" spans="1:10" x14ac:dyDescent="0.3">
      <c r="A76" s="43">
        <f t="shared" si="20"/>
        <v>45972</v>
      </c>
      <c r="B76" s="18">
        <f t="shared" si="21"/>
        <v>163.46700000000001</v>
      </c>
      <c r="C76" s="18">
        <f t="shared" si="27"/>
        <v>4.6903709605215171E-2</v>
      </c>
      <c r="D76" s="45">
        <f t="shared" si="22"/>
        <v>37794.11</v>
      </c>
      <c r="E76" s="18">
        <f t="shared" si="28"/>
        <v>-7.4929043464921907E-4</v>
      </c>
      <c r="F76" s="18">
        <f t="shared" si="23"/>
        <v>4.1482042938548506E-2</v>
      </c>
      <c r="G76" s="18">
        <f t="shared" si="24"/>
        <v>-6.1709571013158866E-3</v>
      </c>
      <c r="H76" s="18">
        <f t="shared" si="25"/>
        <v>4.765300003986439E-2</v>
      </c>
      <c r="I76" s="18">
        <f t="shared" si="26"/>
        <v>163.46700000000001</v>
      </c>
      <c r="J76" s="18">
        <f t="shared" si="29"/>
        <v>0</v>
      </c>
    </row>
    <row r="77" spans="1:10" x14ac:dyDescent="0.3">
      <c r="D77" s="12"/>
    </row>
    <row r="78" spans="1:10" x14ac:dyDescent="0.3">
      <c r="D78" s="12"/>
    </row>
    <row r="79" spans="1:10" x14ac:dyDescent="0.3">
      <c r="D79" s="12"/>
    </row>
    <row r="80" spans="1:10" x14ac:dyDescent="0.3">
      <c r="D80" s="12"/>
    </row>
    <row r="81" spans="4:4" x14ac:dyDescent="0.3">
      <c r="D81" s="12"/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3"/>
  <sheetViews>
    <sheetView workbookViewId="0">
      <pane ySplit="1" topLeftCell="A2" activePane="bottomLeft" state="frozen"/>
      <selection pane="bottomLeft" activeCell="I18" sqref="I18"/>
    </sheetView>
  </sheetViews>
  <sheetFormatPr defaultRowHeight="14.4" x14ac:dyDescent="0.3"/>
  <cols>
    <col min="1" max="1" width="23.88671875" style="11" bestFit="1" customWidth="1"/>
    <col min="2" max="7" width="18" customWidth="1"/>
    <col min="9" max="9" width="12.5546875" bestFit="1" customWidth="1"/>
    <col min="11" max="11" width="15.5546875" customWidth="1"/>
  </cols>
  <sheetData>
    <row r="1" spans="1:10" x14ac:dyDescent="0.3">
      <c r="A1" s="31" t="s">
        <v>60</v>
      </c>
      <c r="B1" s="31" t="s">
        <v>76</v>
      </c>
      <c r="C1" s="31" t="s">
        <v>77</v>
      </c>
      <c r="D1" s="31" t="s">
        <v>78</v>
      </c>
      <c r="E1" s="31" t="s">
        <v>79</v>
      </c>
      <c r="F1" s="31" t="s">
        <v>80</v>
      </c>
      <c r="G1" s="31" t="s">
        <v>81</v>
      </c>
    </row>
    <row r="2" spans="1:10" x14ac:dyDescent="0.3">
      <c r="A2" s="43">
        <f t="shared" ref="A2:A33" si="0">INDEX(FundDates,ROW()-1)</f>
        <v>43861</v>
      </c>
      <c r="B2" s="18">
        <f t="shared" ref="B2:B33" si="1">INDEX(FundNAV,ROW()-1)</f>
        <v>40.256799999999998</v>
      </c>
      <c r="C2" s="18">
        <f t="shared" ref="C2:C33" si="2">SIP_Amt</f>
        <v>1000</v>
      </c>
      <c r="D2" s="18">
        <f t="shared" ref="D2:D33" si="3">IFERROR(C2/B2,NA())</f>
        <v>24.840523836966675</v>
      </c>
      <c r="E2" s="18">
        <f>IF(ROW()=2,D2,IFERROR(E1+D2,NA()))</f>
        <v>24.840523836966675</v>
      </c>
      <c r="F2" s="18">
        <f t="shared" ref="F2:F33" si="4">IFERROR(E2*B2,NA())</f>
        <v>1000</v>
      </c>
      <c r="G2" s="18">
        <f t="shared" ref="G2:G33" si="5">-C2</f>
        <v>-1000</v>
      </c>
      <c r="I2" s="17" t="s">
        <v>82</v>
      </c>
      <c r="J2" s="18">
        <f>LOOKUP(2,1/(E:E&lt;&gt;""),E:E)</f>
        <v>908.66360959456847</v>
      </c>
    </row>
    <row r="3" spans="1:10" x14ac:dyDescent="0.3">
      <c r="A3" s="43">
        <f t="shared" si="0"/>
        <v>43890</v>
      </c>
      <c r="B3" s="18">
        <f t="shared" si="1"/>
        <v>39.144399999999997</v>
      </c>
      <c r="C3" s="18">
        <f t="shared" si="2"/>
        <v>1000</v>
      </c>
      <c r="D3" s="18">
        <f t="shared" si="3"/>
        <v>25.546438315570043</v>
      </c>
      <c r="E3" s="18">
        <f t="shared" ref="E3:E34" si="6">IFERROR(E2+D3,NA())</f>
        <v>50.386962152536718</v>
      </c>
      <c r="F3" s="18">
        <f t="shared" si="4"/>
        <v>1972.3674012837582</v>
      </c>
      <c r="G3" s="18">
        <f t="shared" si="5"/>
        <v>-1000</v>
      </c>
      <c r="I3" s="17" t="s">
        <v>83</v>
      </c>
      <c r="J3" s="18">
        <f>LOOKUP(2,1/(B:B&lt;&gt;""),B:B)</f>
        <v>163.46700000000001</v>
      </c>
    </row>
    <row r="4" spans="1:10" x14ac:dyDescent="0.3">
      <c r="A4" s="43">
        <f t="shared" si="0"/>
        <v>43921</v>
      </c>
      <c r="B4" s="18">
        <f t="shared" si="1"/>
        <v>30.860800000000001</v>
      </c>
      <c r="C4" s="18">
        <f t="shared" si="2"/>
        <v>1000</v>
      </c>
      <c r="D4" s="18">
        <f t="shared" si="3"/>
        <v>32.403566984653672</v>
      </c>
      <c r="E4" s="18">
        <f t="shared" si="6"/>
        <v>82.79052913719039</v>
      </c>
      <c r="F4" s="18">
        <f t="shared" si="4"/>
        <v>2554.9819615970055</v>
      </c>
      <c r="G4" s="18">
        <f t="shared" si="5"/>
        <v>-1000</v>
      </c>
      <c r="I4" s="17" t="s">
        <v>84</v>
      </c>
      <c r="J4" s="18">
        <f>J2*J3</f>
        <v>148536.51426959533</v>
      </c>
    </row>
    <row r="5" spans="1:10" x14ac:dyDescent="0.3">
      <c r="A5" s="46">
        <f t="shared" si="0"/>
        <v>43951</v>
      </c>
      <c r="B5" s="18">
        <f t="shared" si="1"/>
        <v>34.441099999999999</v>
      </c>
      <c r="C5" s="18">
        <f t="shared" si="2"/>
        <v>1000</v>
      </c>
      <c r="D5" s="18">
        <f t="shared" si="3"/>
        <v>29.035077276858175</v>
      </c>
      <c r="E5" s="18">
        <f t="shared" si="6"/>
        <v>111.82560641404856</v>
      </c>
      <c r="F5" s="18">
        <f t="shared" si="4"/>
        <v>3851.396893066888</v>
      </c>
      <c r="G5" s="18">
        <f t="shared" si="5"/>
        <v>-1000</v>
      </c>
      <c r="I5" s="17" t="s">
        <v>85</v>
      </c>
      <c r="J5" s="18">
        <f>XIRR(G2:G74, A2:A74)</f>
        <v>0.26191096901893618</v>
      </c>
    </row>
    <row r="6" spans="1:10" x14ac:dyDescent="0.3">
      <c r="A6" s="43">
        <f t="shared" si="0"/>
        <v>43982</v>
      </c>
      <c r="B6" s="18">
        <f t="shared" si="1"/>
        <v>34.025500000000001</v>
      </c>
      <c r="C6" s="18">
        <f t="shared" si="2"/>
        <v>1000</v>
      </c>
      <c r="D6" s="18">
        <f t="shared" si="3"/>
        <v>29.389722414071798</v>
      </c>
      <c r="E6" s="18">
        <f t="shared" si="6"/>
        <v>141.21532882812036</v>
      </c>
      <c r="F6" s="18">
        <f t="shared" si="4"/>
        <v>4804.9221710412094</v>
      </c>
      <c r="G6" s="18">
        <f t="shared" si="5"/>
        <v>-1000</v>
      </c>
    </row>
    <row r="7" spans="1:10" x14ac:dyDescent="0.3">
      <c r="A7" s="43">
        <f t="shared" si="0"/>
        <v>44012</v>
      </c>
      <c r="B7" s="18">
        <f t="shared" si="1"/>
        <v>36.039200000000001</v>
      </c>
      <c r="C7" s="18">
        <f t="shared" si="2"/>
        <v>1000</v>
      </c>
      <c r="D7" s="18">
        <f t="shared" si="3"/>
        <v>27.747563763901528</v>
      </c>
      <c r="E7" s="18">
        <f t="shared" si="6"/>
        <v>168.96289259202189</v>
      </c>
      <c r="F7" s="18">
        <f t="shared" si="4"/>
        <v>6089.2874787023957</v>
      </c>
      <c r="G7" s="18">
        <f t="shared" si="5"/>
        <v>-1000</v>
      </c>
    </row>
    <row r="8" spans="1:10" x14ac:dyDescent="0.3">
      <c r="A8" s="43">
        <f t="shared" si="0"/>
        <v>44043</v>
      </c>
      <c r="B8" s="18">
        <f t="shared" si="1"/>
        <v>43.588099999999997</v>
      </c>
      <c r="C8" s="18">
        <f t="shared" si="2"/>
        <v>1000</v>
      </c>
      <c r="D8" s="18">
        <f t="shared" si="3"/>
        <v>22.942041520506745</v>
      </c>
      <c r="E8" s="18">
        <f t="shared" si="6"/>
        <v>191.90493411252862</v>
      </c>
      <c r="F8" s="18">
        <f t="shared" si="4"/>
        <v>8364.7714585903086</v>
      </c>
      <c r="G8" s="18">
        <f t="shared" si="5"/>
        <v>-1000</v>
      </c>
    </row>
    <row r="9" spans="1:10" x14ac:dyDescent="0.3">
      <c r="A9" s="43">
        <f t="shared" si="0"/>
        <v>44074</v>
      </c>
      <c r="B9" s="18">
        <f t="shared" si="1"/>
        <v>45.274900000000002</v>
      </c>
      <c r="C9" s="18">
        <f t="shared" si="2"/>
        <v>1000</v>
      </c>
      <c r="D9" s="18">
        <f t="shared" si="3"/>
        <v>22.087293400979348</v>
      </c>
      <c r="E9" s="18">
        <f t="shared" si="6"/>
        <v>213.99222751350797</v>
      </c>
      <c r="F9" s="18">
        <f t="shared" si="4"/>
        <v>9688.4767014513218</v>
      </c>
      <c r="G9" s="18">
        <f t="shared" si="5"/>
        <v>-1000</v>
      </c>
    </row>
    <row r="10" spans="1:10" x14ac:dyDescent="0.3">
      <c r="A10" s="43">
        <f t="shared" si="0"/>
        <v>44104</v>
      </c>
      <c r="B10" s="18">
        <f t="shared" si="1"/>
        <v>46.104900000000001</v>
      </c>
      <c r="C10" s="18">
        <f t="shared" si="2"/>
        <v>1000</v>
      </c>
      <c r="D10" s="18">
        <f t="shared" si="3"/>
        <v>21.689668560174731</v>
      </c>
      <c r="E10" s="18">
        <f t="shared" si="6"/>
        <v>235.68189607368271</v>
      </c>
      <c r="F10" s="18">
        <f t="shared" si="4"/>
        <v>10866.090250287534</v>
      </c>
      <c r="G10" s="18">
        <f t="shared" si="5"/>
        <v>-1000</v>
      </c>
    </row>
    <row r="11" spans="1:10" x14ac:dyDescent="0.3">
      <c r="A11" s="43">
        <f t="shared" si="0"/>
        <v>44135</v>
      </c>
      <c r="B11" s="18">
        <f t="shared" si="1"/>
        <v>47.628300000000003</v>
      </c>
      <c r="C11" s="18">
        <f t="shared" si="2"/>
        <v>1000</v>
      </c>
      <c r="D11" s="18">
        <f t="shared" si="3"/>
        <v>20.995920492648278</v>
      </c>
      <c r="E11" s="18">
        <f t="shared" si="6"/>
        <v>256.67781656633099</v>
      </c>
      <c r="F11" s="18">
        <f t="shared" si="4"/>
        <v>12225.128050766183</v>
      </c>
      <c r="G11" s="18">
        <f t="shared" si="5"/>
        <v>-1000</v>
      </c>
    </row>
    <row r="12" spans="1:10" x14ac:dyDescent="0.3">
      <c r="A12" s="43">
        <f t="shared" si="0"/>
        <v>44165</v>
      </c>
      <c r="B12" s="18">
        <f t="shared" si="1"/>
        <v>48.426900000000003</v>
      </c>
      <c r="C12" s="18">
        <f t="shared" si="2"/>
        <v>1000</v>
      </c>
      <c r="D12" s="18">
        <f t="shared" si="3"/>
        <v>20.649680239701485</v>
      </c>
      <c r="E12" s="18">
        <f t="shared" si="6"/>
        <v>277.32749680603246</v>
      </c>
      <c r="F12" s="18">
        <f t="shared" si="4"/>
        <v>13430.110955076054</v>
      </c>
      <c r="G12" s="18">
        <f t="shared" si="5"/>
        <v>-1000</v>
      </c>
    </row>
    <row r="13" spans="1:10" x14ac:dyDescent="0.3">
      <c r="A13" s="43">
        <f t="shared" si="0"/>
        <v>44196</v>
      </c>
      <c r="B13" s="18">
        <f t="shared" si="1"/>
        <v>50.5929</v>
      </c>
      <c r="C13" s="18">
        <f t="shared" si="2"/>
        <v>1000</v>
      </c>
      <c r="D13" s="18">
        <f t="shared" si="3"/>
        <v>19.765619286500677</v>
      </c>
      <c r="E13" s="18">
        <f t="shared" si="6"/>
        <v>297.09311609253314</v>
      </c>
      <c r="F13" s="18">
        <f t="shared" si="4"/>
        <v>15030.802313157919</v>
      </c>
      <c r="G13" s="18">
        <f t="shared" si="5"/>
        <v>-1000</v>
      </c>
    </row>
    <row r="14" spans="1:10" x14ac:dyDescent="0.3">
      <c r="A14" s="43">
        <f t="shared" si="0"/>
        <v>44227</v>
      </c>
      <c r="B14" s="18">
        <f t="shared" si="1"/>
        <v>49.9191</v>
      </c>
      <c r="C14" s="18">
        <f t="shared" si="2"/>
        <v>1000</v>
      </c>
      <c r="D14" s="18">
        <f t="shared" si="3"/>
        <v>20.032412443333314</v>
      </c>
      <c r="E14" s="18">
        <f t="shared" si="6"/>
        <v>317.12552853586647</v>
      </c>
      <c r="F14" s="18">
        <f t="shared" si="4"/>
        <v>15830.620971534772</v>
      </c>
      <c r="G14" s="18">
        <f t="shared" si="5"/>
        <v>-1000</v>
      </c>
    </row>
    <row r="15" spans="1:10" x14ac:dyDescent="0.3">
      <c r="A15" s="43">
        <f t="shared" si="0"/>
        <v>44255</v>
      </c>
      <c r="B15" s="18">
        <f t="shared" si="1"/>
        <v>52.4131</v>
      </c>
      <c r="C15" s="18">
        <f t="shared" si="2"/>
        <v>1000</v>
      </c>
      <c r="D15" s="18">
        <f t="shared" si="3"/>
        <v>19.079199665732421</v>
      </c>
      <c r="E15" s="18">
        <f t="shared" si="6"/>
        <v>336.20472820159887</v>
      </c>
      <c r="F15" s="18">
        <f t="shared" si="4"/>
        <v>17621.532039703223</v>
      </c>
      <c r="G15" s="18">
        <f t="shared" si="5"/>
        <v>-1000</v>
      </c>
    </row>
    <row r="16" spans="1:10" x14ac:dyDescent="0.3">
      <c r="A16" s="43">
        <f t="shared" si="0"/>
        <v>44286</v>
      </c>
      <c r="B16" s="18">
        <f t="shared" si="1"/>
        <v>54.206499999999998</v>
      </c>
      <c r="C16" s="18">
        <f t="shared" si="2"/>
        <v>1000</v>
      </c>
      <c r="D16" s="18">
        <f t="shared" si="3"/>
        <v>18.447972106666175</v>
      </c>
      <c r="E16" s="18">
        <f t="shared" si="6"/>
        <v>354.65270030826503</v>
      </c>
      <c r="F16" s="18">
        <f t="shared" si="4"/>
        <v>19224.481599259969</v>
      </c>
      <c r="G16" s="18">
        <f t="shared" si="5"/>
        <v>-1000</v>
      </c>
    </row>
    <row r="17" spans="1:7" x14ac:dyDescent="0.3">
      <c r="A17" s="43">
        <f t="shared" si="0"/>
        <v>44316</v>
      </c>
      <c r="B17" s="18">
        <f t="shared" si="1"/>
        <v>61.483699999999999</v>
      </c>
      <c r="C17" s="18">
        <f t="shared" si="2"/>
        <v>1000</v>
      </c>
      <c r="D17" s="18">
        <f t="shared" si="3"/>
        <v>16.264473348220747</v>
      </c>
      <c r="E17" s="18">
        <f t="shared" si="6"/>
        <v>370.91717365648577</v>
      </c>
      <c r="F17" s="18">
        <f t="shared" si="4"/>
        <v>22805.360229943275</v>
      </c>
      <c r="G17" s="18">
        <f t="shared" si="5"/>
        <v>-1000</v>
      </c>
    </row>
    <row r="18" spans="1:7" x14ac:dyDescent="0.3">
      <c r="A18" s="43">
        <f t="shared" si="0"/>
        <v>44347</v>
      </c>
      <c r="B18" s="18">
        <f t="shared" si="1"/>
        <v>68.411299999999997</v>
      </c>
      <c r="C18" s="18">
        <f t="shared" si="2"/>
        <v>1000</v>
      </c>
      <c r="D18" s="18">
        <f t="shared" si="3"/>
        <v>14.617468166808701</v>
      </c>
      <c r="E18" s="18">
        <f t="shared" si="6"/>
        <v>385.53464182329446</v>
      </c>
      <c r="F18" s="18">
        <f t="shared" si="4"/>
        <v>26374.926042165942</v>
      </c>
      <c r="G18" s="18">
        <f t="shared" si="5"/>
        <v>-1000</v>
      </c>
    </row>
    <row r="19" spans="1:7" x14ac:dyDescent="0.3">
      <c r="A19" s="43">
        <f t="shared" si="0"/>
        <v>44377</v>
      </c>
      <c r="B19" s="18">
        <f t="shared" si="1"/>
        <v>70.886300000000006</v>
      </c>
      <c r="C19" s="18">
        <f t="shared" si="2"/>
        <v>1000</v>
      </c>
      <c r="D19" s="18">
        <f t="shared" si="3"/>
        <v>14.107098268635829</v>
      </c>
      <c r="E19" s="18">
        <f t="shared" si="6"/>
        <v>399.64174009193027</v>
      </c>
      <c r="F19" s="18">
        <f t="shared" si="4"/>
        <v>28329.124280678599</v>
      </c>
      <c r="G19" s="18">
        <f t="shared" si="5"/>
        <v>-1000</v>
      </c>
    </row>
    <row r="20" spans="1:7" x14ac:dyDescent="0.3">
      <c r="A20" s="43">
        <f t="shared" si="0"/>
        <v>44408</v>
      </c>
      <c r="B20" s="18">
        <f t="shared" si="1"/>
        <v>74.050399999999996</v>
      </c>
      <c r="C20" s="18">
        <f t="shared" si="2"/>
        <v>1000</v>
      </c>
      <c r="D20" s="18">
        <f t="shared" si="3"/>
        <v>13.504315979387012</v>
      </c>
      <c r="E20" s="18">
        <f t="shared" si="6"/>
        <v>413.14605607131728</v>
      </c>
      <c r="F20" s="18">
        <f t="shared" si="4"/>
        <v>30593.630710503472</v>
      </c>
      <c r="G20" s="18">
        <f t="shared" si="5"/>
        <v>-1000</v>
      </c>
    </row>
    <row r="21" spans="1:7" x14ac:dyDescent="0.3">
      <c r="A21" s="43">
        <f t="shared" si="0"/>
        <v>44439</v>
      </c>
      <c r="B21" s="18">
        <f t="shared" si="1"/>
        <v>72.046899999999994</v>
      </c>
      <c r="C21" s="18">
        <f t="shared" si="2"/>
        <v>1000</v>
      </c>
      <c r="D21" s="18">
        <f t="shared" si="3"/>
        <v>13.879847710310923</v>
      </c>
      <c r="E21" s="18">
        <f t="shared" si="6"/>
        <v>427.02590378162819</v>
      </c>
      <c r="F21" s="18">
        <f t="shared" si="4"/>
        <v>30765.892587164584</v>
      </c>
      <c r="G21" s="18">
        <f t="shared" si="5"/>
        <v>-1000</v>
      </c>
    </row>
    <row r="22" spans="1:7" x14ac:dyDescent="0.3">
      <c r="A22" s="43">
        <f t="shared" si="0"/>
        <v>44469</v>
      </c>
      <c r="B22" s="18">
        <f t="shared" si="1"/>
        <v>74.577699999999993</v>
      </c>
      <c r="C22" s="18">
        <f t="shared" si="2"/>
        <v>1000</v>
      </c>
      <c r="D22" s="18">
        <f t="shared" si="3"/>
        <v>13.408834008021167</v>
      </c>
      <c r="E22" s="18">
        <f t="shared" si="6"/>
        <v>440.43473778964938</v>
      </c>
      <c r="F22" s="18">
        <f t="shared" si="4"/>
        <v>32846.609744455134</v>
      </c>
      <c r="G22" s="18">
        <f t="shared" si="5"/>
        <v>-1000</v>
      </c>
    </row>
    <row r="23" spans="1:7" x14ac:dyDescent="0.3">
      <c r="A23" s="43">
        <f t="shared" si="0"/>
        <v>44500</v>
      </c>
      <c r="B23" s="18">
        <f t="shared" si="1"/>
        <v>76.333299999999994</v>
      </c>
      <c r="C23" s="18">
        <f t="shared" si="2"/>
        <v>1000</v>
      </c>
      <c r="D23" s="18">
        <f t="shared" si="3"/>
        <v>13.100442401939915</v>
      </c>
      <c r="E23" s="18">
        <f t="shared" si="6"/>
        <v>453.53518019158929</v>
      </c>
      <c r="F23" s="18">
        <f t="shared" si="4"/>
        <v>34619.836970118638</v>
      </c>
      <c r="G23" s="18">
        <f t="shared" si="5"/>
        <v>-1000</v>
      </c>
    </row>
    <row r="24" spans="1:7" x14ac:dyDescent="0.3">
      <c r="A24" s="43">
        <f t="shared" si="0"/>
        <v>44530</v>
      </c>
      <c r="B24" s="18">
        <f t="shared" si="1"/>
        <v>76.696399999999997</v>
      </c>
      <c r="C24" s="18">
        <f t="shared" si="2"/>
        <v>1000</v>
      </c>
      <c r="D24" s="18">
        <f t="shared" si="3"/>
        <v>13.038421620832269</v>
      </c>
      <c r="E24" s="18">
        <f t="shared" si="6"/>
        <v>466.57360181242154</v>
      </c>
      <c r="F24" s="18">
        <f t="shared" si="4"/>
        <v>35784.515594046206</v>
      </c>
      <c r="G24" s="18">
        <f t="shared" si="5"/>
        <v>-1000</v>
      </c>
    </row>
    <row r="25" spans="1:7" x14ac:dyDescent="0.3">
      <c r="A25" s="43">
        <f t="shared" si="0"/>
        <v>44561</v>
      </c>
      <c r="B25" s="18">
        <f t="shared" si="1"/>
        <v>79.413300000000007</v>
      </c>
      <c r="C25" s="18">
        <f t="shared" si="2"/>
        <v>1000</v>
      </c>
      <c r="D25" s="18">
        <f t="shared" si="3"/>
        <v>12.592349140509208</v>
      </c>
      <c r="E25" s="18">
        <f t="shared" si="6"/>
        <v>479.16595095293076</v>
      </c>
      <c r="F25" s="18">
        <f t="shared" si="4"/>
        <v>38052.14941281038</v>
      </c>
      <c r="G25" s="18">
        <f t="shared" si="5"/>
        <v>-1000</v>
      </c>
    </row>
    <row r="26" spans="1:7" x14ac:dyDescent="0.3">
      <c r="A26" s="43">
        <f t="shared" si="0"/>
        <v>44592</v>
      </c>
      <c r="B26" s="18">
        <f t="shared" si="1"/>
        <v>81.138000000000005</v>
      </c>
      <c r="C26" s="18">
        <f t="shared" si="2"/>
        <v>1000</v>
      </c>
      <c r="D26" s="18">
        <f t="shared" si="3"/>
        <v>12.324681406985629</v>
      </c>
      <c r="E26" s="18">
        <f t="shared" si="6"/>
        <v>491.49063235991639</v>
      </c>
      <c r="F26" s="18">
        <f t="shared" si="4"/>
        <v>39878.566928418899</v>
      </c>
      <c r="G26" s="18">
        <f t="shared" si="5"/>
        <v>-1000</v>
      </c>
    </row>
    <row r="27" spans="1:7" x14ac:dyDescent="0.3">
      <c r="A27" s="43">
        <f t="shared" si="0"/>
        <v>44620</v>
      </c>
      <c r="B27" s="18">
        <f t="shared" si="1"/>
        <v>76.705600000000004</v>
      </c>
      <c r="C27" s="18">
        <f t="shared" si="2"/>
        <v>1000</v>
      </c>
      <c r="D27" s="18">
        <f t="shared" si="3"/>
        <v>13.036857804384555</v>
      </c>
      <c r="E27" s="18">
        <f t="shared" si="6"/>
        <v>504.52749016430096</v>
      </c>
      <c r="F27" s="18">
        <f t="shared" si="4"/>
        <v>38700.083849546805</v>
      </c>
      <c r="G27" s="18">
        <f t="shared" si="5"/>
        <v>-1000</v>
      </c>
    </row>
    <row r="28" spans="1:7" x14ac:dyDescent="0.3">
      <c r="A28" s="43">
        <f t="shared" si="0"/>
        <v>44651</v>
      </c>
      <c r="B28" s="18">
        <f t="shared" si="1"/>
        <v>82.869900000000001</v>
      </c>
      <c r="C28" s="18">
        <f t="shared" si="2"/>
        <v>1000</v>
      </c>
      <c r="D28" s="18">
        <f t="shared" si="3"/>
        <v>12.067107598778327</v>
      </c>
      <c r="E28" s="18">
        <f t="shared" si="6"/>
        <v>516.59459776307926</v>
      </c>
      <c r="F28" s="18">
        <f t="shared" si="4"/>
        <v>42810.142657166602</v>
      </c>
      <c r="G28" s="18">
        <f t="shared" si="5"/>
        <v>-1000</v>
      </c>
    </row>
    <row r="29" spans="1:7" x14ac:dyDescent="0.3">
      <c r="A29" s="43">
        <f t="shared" si="0"/>
        <v>44681</v>
      </c>
      <c r="B29" s="18">
        <f t="shared" si="1"/>
        <v>85.196399999999997</v>
      </c>
      <c r="C29" s="18">
        <f t="shared" si="2"/>
        <v>1000</v>
      </c>
      <c r="D29" s="18">
        <f t="shared" si="3"/>
        <v>11.737585156180309</v>
      </c>
      <c r="E29" s="18">
        <f t="shared" si="6"/>
        <v>528.33218291925959</v>
      </c>
      <c r="F29" s="18">
        <f t="shared" si="4"/>
        <v>45011.999988862408</v>
      </c>
      <c r="G29" s="18">
        <f t="shared" si="5"/>
        <v>-1000</v>
      </c>
    </row>
    <row r="30" spans="1:7" x14ac:dyDescent="0.3">
      <c r="A30" s="43">
        <f t="shared" si="0"/>
        <v>44712</v>
      </c>
      <c r="B30" s="18">
        <f t="shared" si="1"/>
        <v>79.678100000000001</v>
      </c>
      <c r="C30" s="18">
        <f t="shared" si="2"/>
        <v>1000</v>
      </c>
      <c r="D30" s="18">
        <f t="shared" si="3"/>
        <v>12.550500074675476</v>
      </c>
      <c r="E30" s="18">
        <f t="shared" si="6"/>
        <v>540.88268299393508</v>
      </c>
      <c r="F30" s="18">
        <f t="shared" si="4"/>
        <v>43096.504503859062</v>
      </c>
      <c r="G30" s="18">
        <f t="shared" si="5"/>
        <v>-1000</v>
      </c>
    </row>
    <row r="31" spans="1:7" x14ac:dyDescent="0.3">
      <c r="A31" s="43">
        <f t="shared" si="0"/>
        <v>44742</v>
      </c>
      <c r="B31" s="18">
        <f t="shared" si="1"/>
        <v>75.992999999999995</v>
      </c>
      <c r="C31" s="18">
        <f t="shared" si="2"/>
        <v>1000</v>
      </c>
      <c r="D31" s="18">
        <f t="shared" si="3"/>
        <v>13.159106759833143</v>
      </c>
      <c r="E31" s="18">
        <f t="shared" si="6"/>
        <v>554.04178975376817</v>
      </c>
      <c r="F31" s="18">
        <f t="shared" si="4"/>
        <v>42103.297728758102</v>
      </c>
      <c r="G31" s="18">
        <f t="shared" si="5"/>
        <v>-1000</v>
      </c>
    </row>
    <row r="32" spans="1:7" x14ac:dyDescent="0.3">
      <c r="A32" s="43">
        <f t="shared" si="0"/>
        <v>44773</v>
      </c>
      <c r="B32" s="18">
        <f t="shared" si="1"/>
        <v>81.361500000000007</v>
      </c>
      <c r="C32" s="18">
        <f t="shared" si="2"/>
        <v>1000</v>
      </c>
      <c r="D32" s="18">
        <f t="shared" si="3"/>
        <v>12.2908255132956</v>
      </c>
      <c r="E32" s="18">
        <f t="shared" si="6"/>
        <v>566.33261526706372</v>
      </c>
      <c r="F32" s="18">
        <f t="shared" si="4"/>
        <v>46077.671077051207</v>
      </c>
      <c r="G32" s="18">
        <f t="shared" si="5"/>
        <v>-1000</v>
      </c>
    </row>
    <row r="33" spans="1:7" x14ac:dyDescent="0.3">
      <c r="A33" s="43">
        <f t="shared" si="0"/>
        <v>44804</v>
      </c>
      <c r="B33" s="18">
        <f t="shared" si="1"/>
        <v>85.380099999999999</v>
      </c>
      <c r="C33" s="18">
        <f t="shared" si="2"/>
        <v>1000</v>
      </c>
      <c r="D33" s="18">
        <f t="shared" si="3"/>
        <v>11.712331093545217</v>
      </c>
      <c r="E33" s="18">
        <f t="shared" si="6"/>
        <v>578.04494636060895</v>
      </c>
      <c r="F33" s="18">
        <f t="shared" si="4"/>
        <v>49353.535324763427</v>
      </c>
      <c r="G33" s="18">
        <f t="shared" si="5"/>
        <v>-1000</v>
      </c>
    </row>
    <row r="34" spans="1:7" x14ac:dyDescent="0.3">
      <c r="A34" s="43">
        <f t="shared" ref="A34:A65" si="7">INDEX(FundDates,ROW()-1)</f>
        <v>44834</v>
      </c>
      <c r="B34" s="18">
        <f t="shared" ref="B34:B65" si="8">INDEX(FundNAV,ROW()-1)</f>
        <v>86.575800000000001</v>
      </c>
      <c r="C34" s="18">
        <f t="shared" ref="C34:C65" si="9">SIP_Amt</f>
        <v>1000</v>
      </c>
      <c r="D34" s="18">
        <f t="shared" ref="D34:D65" si="10">IFERROR(C34/B34,NA())</f>
        <v>11.550571868813226</v>
      </c>
      <c r="E34" s="18">
        <f t="shared" si="6"/>
        <v>589.59551822942217</v>
      </c>
      <c r="F34" s="18">
        <f t="shared" ref="F34:F65" si="11">IFERROR(E34*B34,NA())</f>
        <v>51044.703667126807</v>
      </c>
      <c r="G34" s="18">
        <f t="shared" ref="G34:G65" si="12">-C34</f>
        <v>-1000</v>
      </c>
    </row>
    <row r="35" spans="1:7" x14ac:dyDescent="0.3">
      <c r="A35" s="43">
        <f t="shared" si="7"/>
        <v>44865</v>
      </c>
      <c r="B35" s="18">
        <f t="shared" si="8"/>
        <v>88.990099999999998</v>
      </c>
      <c r="C35" s="18">
        <f t="shared" si="9"/>
        <v>1000</v>
      </c>
      <c r="D35" s="18">
        <f t="shared" si="10"/>
        <v>11.237205037414274</v>
      </c>
      <c r="E35" s="18">
        <f t="shared" ref="E35:E66" si="13">IFERROR(E34+D35,NA())</f>
        <v>600.83272326683641</v>
      </c>
      <c r="F35" s="18">
        <f t="shared" si="11"/>
        <v>53468.164126788099</v>
      </c>
      <c r="G35" s="18">
        <f t="shared" si="12"/>
        <v>-1000</v>
      </c>
    </row>
    <row r="36" spans="1:7" x14ac:dyDescent="0.3">
      <c r="A36" s="43">
        <f t="shared" si="7"/>
        <v>44895</v>
      </c>
      <c r="B36" s="18">
        <f t="shared" si="8"/>
        <v>91.430599999999998</v>
      </c>
      <c r="C36" s="18">
        <f t="shared" si="9"/>
        <v>1000</v>
      </c>
      <c r="D36" s="18">
        <f t="shared" si="10"/>
        <v>10.937257329603</v>
      </c>
      <c r="E36" s="18">
        <f t="shared" si="13"/>
        <v>611.76998059643938</v>
      </c>
      <c r="F36" s="18">
        <f t="shared" si="11"/>
        <v>55934.496387920808</v>
      </c>
      <c r="G36" s="18">
        <f t="shared" si="12"/>
        <v>-1000</v>
      </c>
    </row>
    <row r="37" spans="1:7" x14ac:dyDescent="0.3">
      <c r="A37" s="43">
        <f t="shared" si="7"/>
        <v>44926</v>
      </c>
      <c r="B37" s="18">
        <f t="shared" si="8"/>
        <v>91.551299999999998</v>
      </c>
      <c r="C37" s="18">
        <f t="shared" si="9"/>
        <v>1000</v>
      </c>
      <c r="D37" s="18">
        <f t="shared" si="10"/>
        <v>10.922837796950999</v>
      </c>
      <c r="E37" s="18">
        <f t="shared" si="13"/>
        <v>622.69281839339033</v>
      </c>
      <c r="F37" s="18">
        <f t="shared" si="11"/>
        <v>57008.337024578796</v>
      </c>
      <c r="G37" s="18">
        <f t="shared" si="12"/>
        <v>-1000</v>
      </c>
    </row>
    <row r="38" spans="1:7" x14ac:dyDescent="0.3">
      <c r="A38" s="43">
        <f t="shared" si="7"/>
        <v>44957</v>
      </c>
      <c r="B38" s="18">
        <f t="shared" si="8"/>
        <v>90.233000000000004</v>
      </c>
      <c r="C38" s="18">
        <f t="shared" si="9"/>
        <v>1000</v>
      </c>
      <c r="D38" s="18">
        <f t="shared" si="10"/>
        <v>11.082419957221859</v>
      </c>
      <c r="E38" s="18">
        <f t="shared" si="13"/>
        <v>633.7752383506122</v>
      </c>
      <c r="F38" s="18">
        <f t="shared" si="11"/>
        <v>57187.441082090794</v>
      </c>
      <c r="G38" s="18">
        <f t="shared" si="12"/>
        <v>-1000</v>
      </c>
    </row>
    <row r="39" spans="1:7" x14ac:dyDescent="0.3">
      <c r="A39" s="43">
        <f t="shared" si="7"/>
        <v>44985</v>
      </c>
      <c r="B39" s="18">
        <f t="shared" si="8"/>
        <v>87.061700000000002</v>
      </c>
      <c r="C39" s="18">
        <f t="shared" si="9"/>
        <v>1000</v>
      </c>
      <c r="D39" s="18">
        <f t="shared" si="10"/>
        <v>11.486106979303184</v>
      </c>
      <c r="E39" s="18">
        <f t="shared" si="13"/>
        <v>645.26134532991534</v>
      </c>
      <c r="F39" s="18">
        <f t="shared" si="11"/>
        <v>56177.549668709493</v>
      </c>
      <c r="G39" s="18">
        <f t="shared" si="12"/>
        <v>-1000</v>
      </c>
    </row>
    <row r="40" spans="1:7" x14ac:dyDescent="0.3">
      <c r="A40" s="43">
        <f t="shared" si="7"/>
        <v>45016</v>
      </c>
      <c r="B40" s="18">
        <f t="shared" si="8"/>
        <v>88.200500000000005</v>
      </c>
      <c r="C40" s="18">
        <f t="shared" si="9"/>
        <v>1000</v>
      </c>
      <c r="D40" s="18">
        <f t="shared" si="10"/>
        <v>11.33780420745914</v>
      </c>
      <c r="E40" s="18">
        <f t="shared" si="13"/>
        <v>656.5991495373745</v>
      </c>
      <c r="F40" s="18">
        <f t="shared" si="11"/>
        <v>57912.373288771203</v>
      </c>
      <c r="G40" s="18">
        <f t="shared" si="12"/>
        <v>-1000</v>
      </c>
    </row>
    <row r="41" spans="1:7" x14ac:dyDescent="0.3">
      <c r="A41" s="43">
        <f t="shared" si="7"/>
        <v>45046</v>
      </c>
      <c r="B41" s="18">
        <f t="shared" si="8"/>
        <v>91.859499999999997</v>
      </c>
      <c r="C41" s="18">
        <f t="shared" si="9"/>
        <v>1000</v>
      </c>
      <c r="D41" s="18">
        <f t="shared" si="10"/>
        <v>10.886190323265422</v>
      </c>
      <c r="E41" s="18">
        <f t="shared" si="13"/>
        <v>667.4853398606399</v>
      </c>
      <c r="F41" s="18">
        <f t="shared" si="11"/>
        <v>61314.869576928446</v>
      </c>
      <c r="G41" s="18">
        <f t="shared" si="12"/>
        <v>-1000</v>
      </c>
    </row>
    <row r="42" spans="1:7" x14ac:dyDescent="0.3">
      <c r="A42" s="43">
        <f t="shared" si="7"/>
        <v>45077</v>
      </c>
      <c r="B42" s="18">
        <f t="shared" si="8"/>
        <v>91.222099999999998</v>
      </c>
      <c r="C42" s="18">
        <f t="shared" si="9"/>
        <v>1000</v>
      </c>
      <c r="D42" s="18">
        <f t="shared" si="10"/>
        <v>10.962255856859247</v>
      </c>
      <c r="E42" s="18">
        <f t="shared" si="13"/>
        <v>678.4475957174991</v>
      </c>
      <c r="F42" s="18">
        <f t="shared" si="11"/>
        <v>61889.41442130127</v>
      </c>
      <c r="G42" s="18">
        <f t="shared" si="12"/>
        <v>-1000</v>
      </c>
    </row>
    <row r="43" spans="1:7" x14ac:dyDescent="0.3">
      <c r="A43" s="43">
        <f t="shared" si="7"/>
        <v>45107</v>
      </c>
      <c r="B43" s="18">
        <f t="shared" si="8"/>
        <v>94.628799999999998</v>
      </c>
      <c r="C43" s="18">
        <f t="shared" si="9"/>
        <v>1000</v>
      </c>
      <c r="D43" s="18">
        <f t="shared" si="10"/>
        <v>10.567607324619988</v>
      </c>
      <c r="E43" s="18">
        <f t="shared" si="13"/>
        <v>689.01520304211908</v>
      </c>
      <c r="F43" s="18">
        <f t="shared" si="11"/>
        <v>65200.681845632076</v>
      </c>
      <c r="G43" s="18">
        <f t="shared" si="12"/>
        <v>-1000</v>
      </c>
    </row>
    <row r="44" spans="1:7" x14ac:dyDescent="0.3">
      <c r="A44" s="43">
        <f t="shared" si="7"/>
        <v>45138</v>
      </c>
      <c r="B44" s="18">
        <f t="shared" si="8"/>
        <v>99.491399999999999</v>
      </c>
      <c r="C44" s="18">
        <f t="shared" si="9"/>
        <v>1000</v>
      </c>
      <c r="D44" s="18">
        <f t="shared" si="10"/>
        <v>10.051119996301187</v>
      </c>
      <c r="E44" s="18">
        <f t="shared" si="13"/>
        <v>699.06632303842025</v>
      </c>
      <c r="F44" s="18">
        <f t="shared" si="11"/>
        <v>69551.087171944688</v>
      </c>
      <c r="G44" s="18">
        <f t="shared" si="12"/>
        <v>-1000</v>
      </c>
    </row>
    <row r="45" spans="1:7" x14ac:dyDescent="0.3">
      <c r="A45" s="43">
        <f t="shared" si="7"/>
        <v>45169</v>
      </c>
      <c r="B45" s="18">
        <f t="shared" si="8"/>
        <v>98.432000000000002</v>
      </c>
      <c r="C45" s="18">
        <f t="shared" si="9"/>
        <v>1000</v>
      </c>
      <c r="D45" s="18">
        <f t="shared" si="10"/>
        <v>10.159297789336801</v>
      </c>
      <c r="E45" s="18">
        <f t="shared" si="13"/>
        <v>709.2256208277571</v>
      </c>
      <c r="F45" s="18">
        <f t="shared" si="11"/>
        <v>69810.496309317794</v>
      </c>
      <c r="G45" s="18">
        <f t="shared" si="12"/>
        <v>-1000</v>
      </c>
    </row>
    <row r="46" spans="1:7" x14ac:dyDescent="0.3">
      <c r="A46" s="43">
        <f t="shared" si="7"/>
        <v>45199</v>
      </c>
      <c r="B46" s="18">
        <f t="shared" si="8"/>
        <v>99.126499999999993</v>
      </c>
      <c r="C46" s="18">
        <f t="shared" si="9"/>
        <v>1000</v>
      </c>
      <c r="D46" s="18">
        <f t="shared" si="10"/>
        <v>10.088119725804907</v>
      </c>
      <c r="E46" s="18">
        <f t="shared" si="13"/>
        <v>719.31374055356196</v>
      </c>
      <c r="F46" s="18">
        <f t="shared" si="11"/>
        <v>71303.053502982657</v>
      </c>
      <c r="G46" s="18">
        <f t="shared" si="12"/>
        <v>-1000</v>
      </c>
    </row>
    <row r="47" spans="1:7" x14ac:dyDescent="0.3">
      <c r="A47" s="43">
        <f t="shared" si="7"/>
        <v>45230</v>
      </c>
      <c r="B47" s="18">
        <f t="shared" si="8"/>
        <v>98.960999999999999</v>
      </c>
      <c r="C47" s="18">
        <f t="shared" si="9"/>
        <v>1000</v>
      </c>
      <c r="D47" s="18">
        <f t="shared" si="10"/>
        <v>10.104990854983276</v>
      </c>
      <c r="E47" s="18">
        <f t="shared" si="13"/>
        <v>729.41873140854523</v>
      </c>
      <c r="F47" s="18">
        <f t="shared" si="11"/>
        <v>72184.007078921044</v>
      </c>
      <c r="G47" s="18">
        <f t="shared" si="12"/>
        <v>-1000</v>
      </c>
    </row>
    <row r="48" spans="1:7" x14ac:dyDescent="0.3">
      <c r="A48" s="43">
        <f t="shared" si="7"/>
        <v>45260</v>
      </c>
      <c r="B48" s="18">
        <f t="shared" si="8"/>
        <v>105.9502</v>
      </c>
      <c r="C48" s="18">
        <f t="shared" si="9"/>
        <v>1000</v>
      </c>
      <c r="D48" s="18">
        <f t="shared" si="10"/>
        <v>9.4383965296903636</v>
      </c>
      <c r="E48" s="18">
        <f t="shared" si="13"/>
        <v>738.85712793823564</v>
      </c>
      <c r="F48" s="18">
        <f t="shared" si="11"/>
        <v>78282.060476481653</v>
      </c>
      <c r="G48" s="18">
        <f t="shared" si="12"/>
        <v>-1000</v>
      </c>
    </row>
    <row r="49" spans="1:7" x14ac:dyDescent="0.3">
      <c r="A49" s="43">
        <f t="shared" si="7"/>
        <v>45291</v>
      </c>
      <c r="B49" s="18">
        <f t="shared" si="8"/>
        <v>113.3913</v>
      </c>
      <c r="C49" s="18">
        <f t="shared" si="9"/>
        <v>1000</v>
      </c>
      <c r="D49" s="18">
        <f t="shared" si="10"/>
        <v>8.8190187430605338</v>
      </c>
      <c r="E49" s="18">
        <f t="shared" si="13"/>
        <v>747.67614668129613</v>
      </c>
      <c r="F49" s="18">
        <f t="shared" si="11"/>
        <v>84779.970251182851</v>
      </c>
      <c r="G49" s="18">
        <f t="shared" si="12"/>
        <v>-1000</v>
      </c>
    </row>
    <row r="50" spans="1:7" x14ac:dyDescent="0.3">
      <c r="A50" s="43">
        <f t="shared" si="7"/>
        <v>45322</v>
      </c>
      <c r="B50" s="18">
        <f t="shared" si="8"/>
        <v>120.5412</v>
      </c>
      <c r="C50" s="18">
        <f t="shared" si="9"/>
        <v>1000</v>
      </c>
      <c r="D50" s="18">
        <f t="shared" si="10"/>
        <v>8.2959187398167593</v>
      </c>
      <c r="E50" s="18">
        <f t="shared" si="13"/>
        <v>755.97206542111292</v>
      </c>
      <c r="F50" s="18">
        <f t="shared" si="11"/>
        <v>91125.779932339457</v>
      </c>
      <c r="G50" s="18">
        <f t="shared" si="12"/>
        <v>-1000</v>
      </c>
    </row>
    <row r="51" spans="1:7" x14ac:dyDescent="0.3">
      <c r="A51" s="43">
        <f t="shared" si="7"/>
        <v>45351</v>
      </c>
      <c r="B51" s="18">
        <f t="shared" si="8"/>
        <v>126.8509</v>
      </c>
      <c r="C51" s="18">
        <f t="shared" si="9"/>
        <v>1000</v>
      </c>
      <c r="D51" s="18">
        <f t="shared" si="10"/>
        <v>7.8832708321344196</v>
      </c>
      <c r="E51" s="18">
        <f t="shared" si="13"/>
        <v>763.85533625324729</v>
      </c>
      <c r="F51" s="18">
        <f t="shared" si="11"/>
        <v>96895.736873527043</v>
      </c>
      <c r="G51" s="18">
        <f t="shared" si="12"/>
        <v>-1000</v>
      </c>
    </row>
    <row r="52" spans="1:7" x14ac:dyDescent="0.3">
      <c r="A52" s="43">
        <f t="shared" si="7"/>
        <v>45382</v>
      </c>
      <c r="B52" s="18">
        <f t="shared" si="8"/>
        <v>128.4136</v>
      </c>
      <c r="C52" s="18">
        <f t="shared" si="9"/>
        <v>1000</v>
      </c>
      <c r="D52" s="18">
        <f t="shared" si="10"/>
        <v>7.7873371667798423</v>
      </c>
      <c r="E52" s="18">
        <f t="shared" si="13"/>
        <v>771.64267342002711</v>
      </c>
      <c r="F52" s="18">
        <f t="shared" si="11"/>
        <v>99089.413607490002</v>
      </c>
      <c r="G52" s="18">
        <f t="shared" si="12"/>
        <v>-1000</v>
      </c>
    </row>
    <row r="53" spans="1:7" x14ac:dyDescent="0.3">
      <c r="A53" s="43">
        <f t="shared" si="7"/>
        <v>45412</v>
      </c>
      <c r="B53" s="18">
        <f t="shared" si="8"/>
        <v>136.8339</v>
      </c>
      <c r="C53" s="18">
        <f t="shared" si="9"/>
        <v>1000</v>
      </c>
      <c r="D53" s="18">
        <f t="shared" si="10"/>
        <v>7.3081305144412312</v>
      </c>
      <c r="E53" s="18">
        <f t="shared" si="13"/>
        <v>778.95080393446835</v>
      </c>
      <c r="F53" s="18">
        <f t="shared" si="11"/>
        <v>106586.87641048865</v>
      </c>
      <c r="G53" s="18">
        <f t="shared" si="12"/>
        <v>-1000</v>
      </c>
    </row>
    <row r="54" spans="1:7" x14ac:dyDescent="0.3">
      <c r="A54" s="43">
        <f t="shared" si="7"/>
        <v>45443</v>
      </c>
      <c r="B54" s="18">
        <f t="shared" si="8"/>
        <v>138.8331</v>
      </c>
      <c r="C54" s="18">
        <f t="shared" si="9"/>
        <v>1000</v>
      </c>
      <c r="D54" s="18">
        <f t="shared" si="10"/>
        <v>7.2028932581639395</v>
      </c>
      <c r="E54" s="18">
        <f t="shared" si="13"/>
        <v>786.15369719263231</v>
      </c>
      <c r="F54" s="18">
        <f t="shared" si="11"/>
        <v>109144.15485771444</v>
      </c>
      <c r="G54" s="18">
        <f t="shared" si="12"/>
        <v>-1000</v>
      </c>
    </row>
    <row r="55" spans="1:7" x14ac:dyDescent="0.3">
      <c r="A55" s="43">
        <f t="shared" si="7"/>
        <v>45473</v>
      </c>
      <c r="B55" s="18">
        <f t="shared" si="8"/>
        <v>140.9376</v>
      </c>
      <c r="C55" s="18">
        <f t="shared" si="9"/>
        <v>1000</v>
      </c>
      <c r="D55" s="18">
        <f t="shared" si="10"/>
        <v>7.0953386463229116</v>
      </c>
      <c r="E55" s="18">
        <f t="shared" si="13"/>
        <v>793.24903583895525</v>
      </c>
      <c r="F55" s="18">
        <f t="shared" si="11"/>
        <v>111798.61531345634</v>
      </c>
      <c r="G55" s="18">
        <f t="shared" si="12"/>
        <v>-1000</v>
      </c>
    </row>
    <row r="56" spans="1:7" x14ac:dyDescent="0.3">
      <c r="A56" s="43">
        <f t="shared" si="7"/>
        <v>45504</v>
      </c>
      <c r="B56" s="18">
        <f t="shared" si="8"/>
        <v>142.17070000000001</v>
      </c>
      <c r="C56" s="18">
        <f t="shared" si="9"/>
        <v>1000</v>
      </c>
      <c r="D56" s="18">
        <f t="shared" si="10"/>
        <v>7.0337981032660029</v>
      </c>
      <c r="E56" s="18">
        <f t="shared" si="13"/>
        <v>800.28283394222126</v>
      </c>
      <c r="F56" s="18">
        <f t="shared" si="11"/>
        <v>113776.77069954936</v>
      </c>
      <c r="G56" s="18">
        <f t="shared" si="12"/>
        <v>-1000</v>
      </c>
    </row>
    <row r="57" spans="1:7" x14ac:dyDescent="0.3">
      <c r="A57" s="43">
        <f t="shared" si="7"/>
        <v>45535</v>
      </c>
      <c r="B57" s="18">
        <f t="shared" si="8"/>
        <v>141.3777</v>
      </c>
      <c r="C57" s="18">
        <f t="shared" si="9"/>
        <v>1000</v>
      </c>
      <c r="D57" s="18">
        <f t="shared" si="10"/>
        <v>7.0732512977647817</v>
      </c>
      <c r="E57" s="18">
        <f t="shared" si="13"/>
        <v>807.35608523998599</v>
      </c>
      <c r="F57" s="18">
        <f t="shared" si="11"/>
        <v>114142.14641223317</v>
      </c>
      <c r="G57" s="18">
        <f t="shared" si="12"/>
        <v>-1000</v>
      </c>
    </row>
    <row r="58" spans="1:7" x14ac:dyDescent="0.3">
      <c r="A58" s="43">
        <f t="shared" si="7"/>
        <v>45565</v>
      </c>
      <c r="B58" s="18">
        <f t="shared" si="8"/>
        <v>149.45050000000001</v>
      </c>
      <c r="C58" s="18">
        <f t="shared" si="9"/>
        <v>1000</v>
      </c>
      <c r="D58" s="18">
        <f t="shared" si="10"/>
        <v>6.6911786845811818</v>
      </c>
      <c r="E58" s="18">
        <f t="shared" si="13"/>
        <v>814.04726392456712</v>
      </c>
      <c r="F58" s="18">
        <f t="shared" si="11"/>
        <v>121659.77061715852</v>
      </c>
      <c r="G58" s="18">
        <f t="shared" si="12"/>
        <v>-1000</v>
      </c>
    </row>
    <row r="59" spans="1:7" x14ac:dyDescent="0.3">
      <c r="A59" s="43">
        <f t="shared" si="7"/>
        <v>45596</v>
      </c>
      <c r="B59" s="18">
        <f t="shared" si="8"/>
        <v>145.16499999999999</v>
      </c>
      <c r="C59" s="18">
        <f t="shared" si="9"/>
        <v>1000</v>
      </c>
      <c r="D59" s="18">
        <f t="shared" si="10"/>
        <v>6.8887128440050978</v>
      </c>
      <c r="E59" s="18">
        <f t="shared" si="13"/>
        <v>820.93597676857223</v>
      </c>
      <c r="F59" s="18">
        <f t="shared" si="11"/>
        <v>119171.17106760979</v>
      </c>
      <c r="G59" s="18">
        <f t="shared" si="12"/>
        <v>-1000</v>
      </c>
    </row>
    <row r="60" spans="1:7" x14ac:dyDescent="0.3">
      <c r="A60" s="43">
        <f t="shared" si="7"/>
        <v>45626</v>
      </c>
      <c r="B60" s="18">
        <f t="shared" si="8"/>
        <v>146.48949999999999</v>
      </c>
      <c r="C60" s="18">
        <f t="shared" si="9"/>
        <v>1000</v>
      </c>
      <c r="D60" s="18">
        <f t="shared" si="10"/>
        <v>6.82642783271156</v>
      </c>
      <c r="E60" s="18">
        <f t="shared" si="13"/>
        <v>827.76240460128383</v>
      </c>
      <c r="F60" s="18">
        <f t="shared" si="11"/>
        <v>121258.50076883976</v>
      </c>
      <c r="G60" s="18">
        <f t="shared" si="12"/>
        <v>-1000</v>
      </c>
    </row>
    <row r="61" spans="1:7" x14ac:dyDescent="0.3">
      <c r="A61" s="43">
        <f t="shared" si="7"/>
        <v>45657</v>
      </c>
      <c r="B61" s="18">
        <f t="shared" si="8"/>
        <v>144.6593</v>
      </c>
      <c r="C61" s="18">
        <f t="shared" si="9"/>
        <v>1000</v>
      </c>
      <c r="D61" s="18">
        <f t="shared" si="10"/>
        <v>6.9127944072728127</v>
      </c>
      <c r="E61" s="18">
        <f t="shared" si="13"/>
        <v>834.67519900855666</v>
      </c>
      <c r="F61" s="18">
        <f t="shared" si="11"/>
        <v>120743.53001593851</v>
      </c>
      <c r="G61" s="18">
        <f t="shared" si="12"/>
        <v>-1000</v>
      </c>
    </row>
    <row r="62" spans="1:7" x14ac:dyDescent="0.3">
      <c r="A62" s="43">
        <f t="shared" si="7"/>
        <v>45688</v>
      </c>
      <c r="B62" s="18">
        <f t="shared" si="8"/>
        <v>139.68299999999999</v>
      </c>
      <c r="C62" s="18">
        <f t="shared" si="9"/>
        <v>1000</v>
      </c>
      <c r="D62" s="18">
        <f t="shared" si="10"/>
        <v>7.1590673167099794</v>
      </c>
      <c r="E62" s="18">
        <f t="shared" si="13"/>
        <v>841.83426632526664</v>
      </c>
      <c r="F62" s="18">
        <f t="shared" si="11"/>
        <v>117589.93582311222</v>
      </c>
      <c r="G62" s="18">
        <f t="shared" si="12"/>
        <v>-1000</v>
      </c>
    </row>
    <row r="63" spans="1:7" x14ac:dyDescent="0.3">
      <c r="A63" s="43">
        <f t="shared" si="7"/>
        <v>45716</v>
      </c>
      <c r="B63" s="18">
        <f t="shared" si="8"/>
        <v>131.92850000000001</v>
      </c>
      <c r="C63" s="18">
        <f t="shared" si="9"/>
        <v>1000</v>
      </c>
      <c r="D63" s="18">
        <f t="shared" si="10"/>
        <v>7.5798633350640676</v>
      </c>
      <c r="E63" s="18">
        <f t="shared" si="13"/>
        <v>849.41412966033067</v>
      </c>
      <c r="F63" s="18">
        <f t="shared" si="11"/>
        <v>112061.93200489295</v>
      </c>
      <c r="G63" s="18">
        <f t="shared" si="12"/>
        <v>-1000</v>
      </c>
    </row>
    <row r="64" spans="1:7" x14ac:dyDescent="0.3">
      <c r="A64" s="43">
        <f t="shared" si="7"/>
        <v>45747</v>
      </c>
      <c r="B64" s="18">
        <f t="shared" si="8"/>
        <v>139.79820000000001</v>
      </c>
      <c r="C64" s="18">
        <f t="shared" si="9"/>
        <v>1000</v>
      </c>
      <c r="D64" s="18">
        <f t="shared" si="10"/>
        <v>7.1531679234782706</v>
      </c>
      <c r="E64" s="18">
        <f t="shared" si="13"/>
        <v>856.56729758380891</v>
      </c>
      <c r="F64" s="18">
        <f t="shared" si="11"/>
        <v>119746.56638108085</v>
      </c>
      <c r="G64" s="18">
        <f t="shared" si="12"/>
        <v>-1000</v>
      </c>
    </row>
    <row r="65" spans="1:7" x14ac:dyDescent="0.3">
      <c r="A65" s="43">
        <f t="shared" si="7"/>
        <v>45777</v>
      </c>
      <c r="B65" s="18">
        <f t="shared" si="8"/>
        <v>143.3409</v>
      </c>
      <c r="C65" s="18">
        <f t="shared" si="9"/>
        <v>1000</v>
      </c>
      <c r="D65" s="18">
        <f t="shared" si="10"/>
        <v>6.9763758982956015</v>
      </c>
      <c r="E65" s="18">
        <f t="shared" si="13"/>
        <v>863.54367348210451</v>
      </c>
      <c r="F65" s="18">
        <f t="shared" si="11"/>
        <v>123781.12734623101</v>
      </c>
      <c r="G65" s="18">
        <f t="shared" si="12"/>
        <v>-1000</v>
      </c>
    </row>
    <row r="66" spans="1:7" x14ac:dyDescent="0.3">
      <c r="A66" s="43">
        <f t="shared" ref="A66:A72" si="14">INDEX(FundDates,ROW()-1)</f>
        <v>45808</v>
      </c>
      <c r="B66" s="18">
        <f t="shared" ref="B66:B72" si="15">INDEX(FundNAV,ROW()-1)</f>
        <v>149.3261</v>
      </c>
      <c r="C66" s="18">
        <f t="shared" ref="C66:C72" si="16">SIP_Amt</f>
        <v>1000</v>
      </c>
      <c r="D66" s="18">
        <f t="shared" ref="D66:D72" si="17">IFERROR(C66/B66,NA())</f>
        <v>6.6967529453993642</v>
      </c>
      <c r="E66" s="18">
        <f t="shared" si="13"/>
        <v>870.24042642750385</v>
      </c>
      <c r="F66" s="18">
        <f t="shared" ref="F66:F72" si="18">IFERROR(E66*B66,NA())</f>
        <v>129949.60894075608</v>
      </c>
      <c r="G66" s="18">
        <f t="shared" ref="G66:G71" si="19">-C66</f>
        <v>-1000</v>
      </c>
    </row>
    <row r="67" spans="1:7" x14ac:dyDescent="0.3">
      <c r="A67" s="43">
        <f t="shared" si="14"/>
        <v>45838</v>
      </c>
      <c r="B67" s="18">
        <f t="shared" si="15"/>
        <v>153.0351</v>
      </c>
      <c r="C67" s="18">
        <f t="shared" si="16"/>
        <v>1000</v>
      </c>
      <c r="D67" s="18">
        <f t="shared" si="17"/>
        <v>6.5344486330260185</v>
      </c>
      <c r="E67" s="18">
        <f t="shared" ref="E67:E72" si="20">IFERROR(E66+D67,NA())</f>
        <v>876.77487506052989</v>
      </c>
      <c r="F67" s="18">
        <f t="shared" si="18"/>
        <v>134177.3306823757</v>
      </c>
      <c r="G67" s="18">
        <f t="shared" si="19"/>
        <v>-1000</v>
      </c>
    </row>
    <row r="68" spans="1:7" x14ac:dyDescent="0.3">
      <c r="A68" s="43">
        <f t="shared" si="14"/>
        <v>45869</v>
      </c>
      <c r="B68" s="18">
        <f t="shared" si="15"/>
        <v>151.7141</v>
      </c>
      <c r="C68" s="18">
        <f t="shared" si="16"/>
        <v>1000</v>
      </c>
      <c r="D68" s="18">
        <f t="shared" si="17"/>
        <v>6.5913451683132944</v>
      </c>
      <c r="E68" s="18">
        <f t="shared" si="20"/>
        <v>883.36622022884319</v>
      </c>
      <c r="F68" s="18">
        <f t="shared" si="18"/>
        <v>134019.11107242075</v>
      </c>
      <c r="G68" s="18">
        <f t="shared" si="19"/>
        <v>-1000</v>
      </c>
    </row>
    <row r="69" spans="1:7" x14ac:dyDescent="0.3">
      <c r="A69" s="43">
        <f t="shared" si="14"/>
        <v>45900</v>
      </c>
      <c r="B69" s="18">
        <f t="shared" si="15"/>
        <v>150.69710000000001</v>
      </c>
      <c r="C69" s="18">
        <f t="shared" si="16"/>
        <v>1000</v>
      </c>
      <c r="D69" s="18">
        <f t="shared" si="17"/>
        <v>6.635827763108912</v>
      </c>
      <c r="E69" s="18">
        <f t="shared" si="20"/>
        <v>890.00204799195205</v>
      </c>
      <c r="F69" s="18">
        <f t="shared" si="18"/>
        <v>134120.727626448</v>
      </c>
      <c r="G69" s="18">
        <f t="shared" si="19"/>
        <v>-1000</v>
      </c>
    </row>
    <row r="70" spans="1:7" x14ac:dyDescent="0.3">
      <c r="A70" s="43">
        <f t="shared" si="14"/>
        <v>45930</v>
      </c>
      <c r="B70" s="18">
        <f t="shared" si="15"/>
        <v>156.14330000000001</v>
      </c>
      <c r="C70" s="18">
        <f t="shared" si="16"/>
        <v>1000</v>
      </c>
      <c r="D70" s="18">
        <f t="shared" si="17"/>
        <v>6.4043734185200387</v>
      </c>
      <c r="E70" s="18">
        <f t="shared" si="20"/>
        <v>896.40642141047215</v>
      </c>
      <c r="F70" s="18">
        <f t="shared" si="18"/>
        <v>139967.85678022177</v>
      </c>
      <c r="G70" s="18">
        <f t="shared" si="19"/>
        <v>-1000</v>
      </c>
    </row>
    <row r="71" spans="1:7" x14ac:dyDescent="0.3">
      <c r="A71" s="43">
        <f t="shared" si="14"/>
        <v>45961</v>
      </c>
      <c r="B71" s="18">
        <f t="shared" si="15"/>
        <v>162.8732</v>
      </c>
      <c r="C71" s="18">
        <f t="shared" si="16"/>
        <v>1000</v>
      </c>
      <c r="D71" s="18">
        <f t="shared" si="17"/>
        <v>6.1397455198276942</v>
      </c>
      <c r="E71" s="18">
        <f t="shared" si="20"/>
        <v>902.54616693029982</v>
      </c>
      <c r="F71" s="18">
        <f t="shared" si="18"/>
        <v>147000.58235567212</v>
      </c>
      <c r="G71" s="18">
        <f t="shared" si="19"/>
        <v>-1000</v>
      </c>
    </row>
    <row r="72" spans="1:7" x14ac:dyDescent="0.3">
      <c r="A72" s="43">
        <f t="shared" si="14"/>
        <v>45972</v>
      </c>
      <c r="B72" s="18">
        <f t="shared" si="15"/>
        <v>163.46700000000001</v>
      </c>
      <c r="C72" s="18">
        <f t="shared" si="16"/>
        <v>1000</v>
      </c>
      <c r="D72" s="18">
        <f t="shared" si="17"/>
        <v>6.117442664268629</v>
      </c>
      <c r="E72" s="18">
        <f t="shared" si="20"/>
        <v>908.66360959456847</v>
      </c>
      <c r="F72" s="18">
        <f t="shared" si="18"/>
        <v>148536.51426959533</v>
      </c>
      <c r="G72" s="18">
        <f>F72</f>
        <v>148536.51426959533</v>
      </c>
    </row>
    <row r="2003" spans="1:7" x14ac:dyDescent="0.3">
      <c r="A2003" s="11" t="s">
        <v>86</v>
      </c>
      <c r="G2003">
        <f>J4</f>
        <v>148536.51426959533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7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40" style="2" customWidth="1"/>
    <col min="2" max="2" width="40.44140625" style="2" customWidth="1"/>
    <col min="3" max="3" width="19.5546875" style="2" customWidth="1"/>
    <col min="4" max="4" width="53.88671875" style="3" customWidth="1"/>
    <col min="5" max="5" width="8.6640625" style="2" bestFit="1" customWidth="1"/>
    <col min="6" max="6" width="21.109375" style="2" customWidth="1"/>
    <col min="7" max="7" width="67.6640625" style="2" customWidth="1"/>
    <col min="8" max="16384" width="8.88671875" style="2"/>
  </cols>
  <sheetData>
    <row r="1" spans="1:15" x14ac:dyDescent="0.3">
      <c r="A1" s="4" t="s">
        <v>87</v>
      </c>
      <c r="B1" s="4" t="s">
        <v>244</v>
      </c>
      <c r="C1" s="4" t="s">
        <v>243</v>
      </c>
      <c r="D1" s="4" t="s">
        <v>88</v>
      </c>
      <c r="E1" s="4" t="s">
        <v>89</v>
      </c>
    </row>
    <row r="2" spans="1:15" ht="23.4" customHeight="1" x14ac:dyDescent="0.3">
      <c r="A2" s="18" t="s">
        <v>90</v>
      </c>
      <c r="B2" s="18" t="s">
        <v>218</v>
      </c>
      <c r="C2" s="18">
        <f>COUNT(NAV_Data!$A:$A)</f>
        <v>71</v>
      </c>
      <c r="D2" s="18"/>
      <c r="E2" s="18"/>
      <c r="O2" s="24" t="s">
        <v>91</v>
      </c>
    </row>
    <row r="3" spans="1:15" x14ac:dyDescent="0.3">
      <c r="A3" s="18" t="s">
        <v>92</v>
      </c>
      <c r="B3" s="18" t="s">
        <v>219</v>
      </c>
      <c r="C3" s="19">
        <f>INDEX(NAV_Data!A:A, MATCH(MIN(NAV_Data!A:A), NAV_Data!A:A, 0))</f>
        <v>43861</v>
      </c>
      <c r="D3" s="20"/>
      <c r="E3" s="18"/>
    </row>
    <row r="4" spans="1:15" x14ac:dyDescent="0.3">
      <c r="A4" s="18" t="s">
        <v>93</v>
      </c>
      <c r="B4" s="18" t="s">
        <v>220</v>
      </c>
      <c r="C4" s="19">
        <f>INDEX(NAV_Data!A:A, MATCH(MAX(NAV_Data!A:A), NAV_Data!A:A, 0))</f>
        <v>45972</v>
      </c>
      <c r="D4" s="20"/>
      <c r="E4" s="18"/>
      <c r="O4" s="15" t="s">
        <v>94</v>
      </c>
    </row>
    <row r="5" spans="1:15" x14ac:dyDescent="0.3">
      <c r="A5" s="18" t="s">
        <v>95</v>
      </c>
      <c r="B5" s="25" t="s">
        <v>221</v>
      </c>
      <c r="C5" s="20">
        <f>INDEX(NAV_Data!B:B, MATCH(MIN(NAV_Data!A:A), NAV_Data!A:A, 0))</f>
        <v>40.256799999999998</v>
      </c>
      <c r="D5" s="20"/>
      <c r="E5" s="18"/>
    </row>
    <row r="6" spans="1:15" x14ac:dyDescent="0.3">
      <c r="A6" s="18" t="s">
        <v>96</v>
      </c>
      <c r="B6" s="18" t="s">
        <v>222</v>
      </c>
      <c r="C6" s="20">
        <f>INDEX(NAV_Data!B:B, MATCH(MAX(NAV_Data!A:A), NAV_Data!A:A, 0))</f>
        <v>163.46700000000001</v>
      </c>
      <c r="D6" s="20"/>
      <c r="E6" s="18"/>
      <c r="O6" s="15" t="s">
        <v>97</v>
      </c>
    </row>
    <row r="7" spans="1:15" x14ac:dyDescent="0.3">
      <c r="A7" s="60" t="s">
        <v>223</v>
      </c>
      <c r="B7" s="61"/>
      <c r="C7" s="61"/>
      <c r="D7" s="61"/>
      <c r="E7" s="62"/>
      <c r="O7" s="15"/>
    </row>
    <row r="8" spans="1:15" x14ac:dyDescent="0.3">
      <c r="A8" s="18" t="s">
        <v>98</v>
      </c>
      <c r="B8" s="18" t="s">
        <v>197</v>
      </c>
      <c r="C8" s="22">
        <f>(C6 - C5) / C5</f>
        <v>3.0606059100574319</v>
      </c>
      <c r="D8" s="20" t="s">
        <v>99</v>
      </c>
      <c r="E8" s="26" t="s">
        <v>103</v>
      </c>
    </row>
    <row r="9" spans="1:15" x14ac:dyDescent="0.3">
      <c r="A9" s="18" t="s">
        <v>101</v>
      </c>
      <c r="B9" s="18" t="s">
        <v>198</v>
      </c>
      <c r="C9" s="22">
        <f>(C6/C5)^(12/C2)-1</f>
        <v>0.26724452643093199</v>
      </c>
      <c r="D9" s="20" t="s">
        <v>102</v>
      </c>
      <c r="E9" s="26" t="s">
        <v>103</v>
      </c>
      <c r="O9" s="15" t="s">
        <v>104</v>
      </c>
    </row>
    <row r="10" spans="1:15" x14ac:dyDescent="0.3">
      <c r="A10" s="18" t="s">
        <v>105</v>
      </c>
      <c r="B10" s="18" t="s">
        <v>199</v>
      </c>
      <c r="C10" s="22">
        <f>(Benchmark_Data!B72/Benchmark_Data!B2)^(12/C2)-1</f>
        <v>0.17163819128234925</v>
      </c>
      <c r="D10" s="18" t="s">
        <v>106</v>
      </c>
      <c r="E10" s="27" t="s">
        <v>100</v>
      </c>
    </row>
    <row r="11" spans="1:15" x14ac:dyDescent="0.3">
      <c r="A11" s="18" t="s">
        <v>107</v>
      </c>
      <c r="B11" s="18" t="s">
        <v>236</v>
      </c>
      <c r="C11" s="22">
        <f>AVERAGE(Calc!$C:$C)</f>
        <v>4.483102709419088E-2</v>
      </c>
      <c r="D11" s="20" t="s">
        <v>108</v>
      </c>
      <c r="E11" s="27" t="s">
        <v>100</v>
      </c>
      <c r="O11" s="15" t="s">
        <v>109</v>
      </c>
    </row>
    <row r="12" spans="1:15" x14ac:dyDescent="0.3">
      <c r="A12" s="60" t="s">
        <v>224</v>
      </c>
      <c r="B12" s="61"/>
      <c r="C12" s="61"/>
      <c r="D12" s="61"/>
      <c r="E12" s="62"/>
      <c r="O12" s="15"/>
    </row>
    <row r="13" spans="1:15" x14ac:dyDescent="0.3">
      <c r="A13" s="18" t="s">
        <v>110</v>
      </c>
      <c r="B13" s="55" t="s">
        <v>237</v>
      </c>
      <c r="C13" s="22">
        <f>_xlfn.STDEV.S(Calc!$C:$C)</f>
        <v>7.9297348847101184E-2</v>
      </c>
      <c r="D13" s="20" t="s">
        <v>111</v>
      </c>
      <c r="E13" s="27" t="s">
        <v>100</v>
      </c>
    </row>
    <row r="14" spans="1:15" x14ac:dyDescent="0.3">
      <c r="A14" s="18" t="s">
        <v>112</v>
      </c>
      <c r="B14" s="18" t="s">
        <v>200</v>
      </c>
      <c r="C14" s="22">
        <f>C13* SQRT(12)</f>
        <v>0.27469407421738518</v>
      </c>
      <c r="D14" s="20" t="s">
        <v>113</v>
      </c>
      <c r="E14" s="28" t="s">
        <v>196</v>
      </c>
      <c r="F14" s="16"/>
      <c r="O14" s="15" t="s">
        <v>114</v>
      </c>
    </row>
    <row r="15" spans="1:15" x14ac:dyDescent="0.3">
      <c r="A15" s="18" t="s">
        <v>115</v>
      </c>
      <c r="B15" s="18" t="s">
        <v>201</v>
      </c>
      <c r="C15" s="22">
        <f>AVERAGE(Calc!$F:$F) / C13</f>
        <v>0.49698206813335166</v>
      </c>
      <c r="D15" s="20" t="s">
        <v>239</v>
      </c>
      <c r="E15" s="27" t="s">
        <v>100</v>
      </c>
      <c r="G15" s="16"/>
    </row>
    <row r="16" spans="1:15" x14ac:dyDescent="0.3">
      <c r="A16" s="60" t="s">
        <v>225</v>
      </c>
      <c r="B16" s="61"/>
      <c r="C16" s="61"/>
      <c r="D16" s="61"/>
      <c r="E16" s="62"/>
    </row>
    <row r="17" spans="1:15" x14ac:dyDescent="0.3">
      <c r="A17" s="18" t="s">
        <v>116</v>
      </c>
      <c r="B17" s="18" t="s">
        <v>226</v>
      </c>
      <c r="C17" s="22" cm="1">
        <f t="array" ref="C17">SQRT(AVERAGE(IF(Calc!$C:$C&lt;0, Calc!$C:$C^2)))</f>
        <v>8.3181247509315992E-2</v>
      </c>
      <c r="D17" s="20" t="s">
        <v>117</v>
      </c>
      <c r="E17" s="27" t="s">
        <v>100</v>
      </c>
      <c r="O17" s="15" t="s">
        <v>118</v>
      </c>
    </row>
    <row r="18" spans="1:15" x14ac:dyDescent="0.3">
      <c r="A18" s="18" t="s">
        <v>119</v>
      </c>
      <c r="B18" s="18" t="s">
        <v>202</v>
      </c>
      <c r="C18" s="22">
        <f>C17 * SQRT(12)</f>
        <v>0.28814829384619484</v>
      </c>
      <c r="D18" s="20" t="s">
        <v>120</v>
      </c>
      <c r="E18" s="27" t="s">
        <v>100</v>
      </c>
    </row>
    <row r="19" spans="1:15" x14ac:dyDescent="0.3">
      <c r="A19" s="18" t="s">
        <v>121</v>
      </c>
      <c r="B19" s="18" t="s">
        <v>203</v>
      </c>
      <c r="C19" s="22">
        <f>AVERAGE(Calc!$F:$F) /C18</f>
        <v>0.13676763412855661</v>
      </c>
      <c r="D19" s="20" t="s">
        <v>239</v>
      </c>
      <c r="E19" s="27" t="s">
        <v>100</v>
      </c>
      <c r="F19" s="16"/>
      <c r="O19" s="15" t="s">
        <v>122</v>
      </c>
    </row>
    <row r="20" spans="1:15" x14ac:dyDescent="0.3">
      <c r="A20" s="60" t="s">
        <v>227</v>
      </c>
      <c r="B20" s="61"/>
      <c r="C20" s="61"/>
      <c r="D20" s="61"/>
      <c r="E20" s="62"/>
      <c r="O20" s="15"/>
    </row>
    <row r="21" spans="1:15" x14ac:dyDescent="0.3">
      <c r="A21" s="18" t="s">
        <v>123</v>
      </c>
      <c r="B21" s="18" t="s">
        <v>204</v>
      </c>
      <c r="C21" s="22">
        <f>_xlfn.COVARIANCE.P(Calc!$C:$C, Calc!$E:$E) / _xlfn.VAR.P(Calc!$E:$E)</f>
        <v>0.58176785656011121</v>
      </c>
      <c r="D21" s="20" t="s">
        <v>240</v>
      </c>
      <c r="E21" s="27" t="s">
        <v>100</v>
      </c>
    </row>
    <row r="22" spans="1:15" x14ac:dyDescent="0.3">
      <c r="A22" s="18" t="s">
        <v>124</v>
      </c>
      <c r="B22" s="18" t="s">
        <v>205</v>
      </c>
      <c r="C22" s="22">
        <f>AVERAGE(Calc!$F:$F) - (C21 * AVERAGE(Calc!$G:$G))</f>
        <v>3.3850352178403521E-2</v>
      </c>
      <c r="D22" s="20" t="s">
        <v>125</v>
      </c>
      <c r="E22" s="27" t="s">
        <v>100</v>
      </c>
      <c r="F22" s="16"/>
      <c r="O22" s="15" t="s">
        <v>126</v>
      </c>
    </row>
    <row r="23" spans="1:15" x14ac:dyDescent="0.3">
      <c r="A23" s="18" t="s">
        <v>127</v>
      </c>
      <c r="B23" s="18" t="s">
        <v>206</v>
      </c>
      <c r="C23" s="22">
        <f>(1 + C22)^12 - 1</f>
        <v>0.49104983953907033</v>
      </c>
      <c r="D23" s="20" t="s">
        <v>128</v>
      </c>
      <c r="E23" s="26" t="s">
        <v>103</v>
      </c>
      <c r="F23" s="29"/>
    </row>
    <row r="24" spans="1:15" x14ac:dyDescent="0.3">
      <c r="A24" s="18" t="s">
        <v>129</v>
      </c>
      <c r="B24" s="18" t="s">
        <v>241</v>
      </c>
      <c r="C24" s="22">
        <f>RSQ(Calc!$C:$C, Calc!$E:$E)</f>
        <v>0.17543501195580596</v>
      </c>
      <c r="D24" s="20" t="s">
        <v>130</v>
      </c>
      <c r="E24" s="28" t="s">
        <v>196</v>
      </c>
      <c r="F24" s="30"/>
      <c r="O24" s="15" t="s">
        <v>131</v>
      </c>
    </row>
    <row r="25" spans="1:15" x14ac:dyDescent="0.3">
      <c r="A25" s="60" t="s">
        <v>228</v>
      </c>
      <c r="B25" s="61"/>
      <c r="C25" s="61"/>
      <c r="D25" s="61"/>
      <c r="E25" s="62"/>
      <c r="O25" s="15"/>
    </row>
    <row r="26" spans="1:15" x14ac:dyDescent="0.3">
      <c r="A26" s="18" t="s">
        <v>132</v>
      </c>
      <c r="B26" s="18" t="s">
        <v>207</v>
      </c>
      <c r="C26" s="22">
        <f>_xlfn.STDEV.S(Calc!$H:$H) * SQRT(12)</f>
        <v>0.2627937333890637</v>
      </c>
      <c r="D26" s="20" t="s">
        <v>133</v>
      </c>
      <c r="E26" s="27" t="s">
        <v>100</v>
      </c>
    </row>
    <row r="27" spans="1:15" x14ac:dyDescent="0.3">
      <c r="A27" s="18" t="s">
        <v>134</v>
      </c>
      <c r="B27" s="18" t="s">
        <v>208</v>
      </c>
      <c r="C27" s="23">
        <f>AVERAGE(Calc!$H:$H) / _xlfn.STDEV.S(Calc!$H:$H)</f>
        <v>0.39353012121859093</v>
      </c>
      <c r="D27" s="20" t="s">
        <v>242</v>
      </c>
      <c r="E27" s="26" t="s">
        <v>103</v>
      </c>
      <c r="O27" s="15" t="s">
        <v>136</v>
      </c>
    </row>
    <row r="28" spans="1:15" x14ac:dyDescent="0.3">
      <c r="A28" s="60" t="s">
        <v>229</v>
      </c>
      <c r="B28" s="61"/>
      <c r="C28" s="61"/>
      <c r="D28" s="61"/>
      <c r="E28" s="62"/>
      <c r="O28" s="15"/>
    </row>
    <row r="29" spans="1:15" x14ac:dyDescent="0.3">
      <c r="A29" s="18" t="s">
        <v>137</v>
      </c>
      <c r="B29" s="18" t="s">
        <v>209</v>
      </c>
      <c r="C29" s="23">
        <f>AVERAGE(Calc!$F:$F) / C21</f>
        <v>6.7740697570581945E-2</v>
      </c>
      <c r="D29" s="20" t="s">
        <v>138</v>
      </c>
      <c r="E29" s="27" t="s">
        <v>100</v>
      </c>
    </row>
    <row r="30" spans="1:15" x14ac:dyDescent="0.3">
      <c r="A30" s="18" t="s">
        <v>139</v>
      </c>
      <c r="B30" s="18" t="s">
        <v>210</v>
      </c>
      <c r="C30" s="22">
        <f>MIN(Calc!$J:$J)</f>
        <v>-0.23340156197213879</v>
      </c>
      <c r="D30" s="20" t="s">
        <v>140</v>
      </c>
      <c r="E30" s="27" t="s">
        <v>100</v>
      </c>
      <c r="O30" s="15" t="s">
        <v>141</v>
      </c>
    </row>
    <row r="31" spans="1:15" x14ac:dyDescent="0.3">
      <c r="A31" s="18" t="s">
        <v>142</v>
      </c>
      <c r="B31" s="18" t="s">
        <v>211</v>
      </c>
      <c r="C31" s="18">
        <f>C9/-C30</f>
        <v>1.1449988773546984</v>
      </c>
      <c r="D31" s="20" t="s">
        <v>135</v>
      </c>
      <c r="E31" s="26" t="s">
        <v>103</v>
      </c>
    </row>
    <row r="32" spans="1:15" x14ac:dyDescent="0.3">
      <c r="A32" s="60" t="s">
        <v>230</v>
      </c>
      <c r="B32" s="61"/>
      <c r="C32" s="61"/>
      <c r="D32" s="61"/>
      <c r="E32" s="62"/>
    </row>
    <row r="33" spans="1:15" x14ac:dyDescent="0.3">
      <c r="A33" s="18" t="s">
        <v>143</v>
      </c>
      <c r="B33" s="55" t="s">
        <v>212</v>
      </c>
      <c r="C33" s="22">
        <f t="array" ref="C33">AVERAGE(IF(Calc!$E:$E&gt;0, Calc!$C:$C)) / AVERAGE(IF(Calc!$E:$E&gt;0, Calc!$E:$E))</f>
        <v>1.5517235037798922</v>
      </c>
      <c r="D33" s="20" t="s">
        <v>144</v>
      </c>
      <c r="E33" s="26" t="s">
        <v>103</v>
      </c>
      <c r="O33" s="15" t="s">
        <v>145</v>
      </c>
    </row>
    <row r="34" spans="1:15" x14ac:dyDescent="0.3">
      <c r="A34" s="18" t="s">
        <v>146</v>
      </c>
      <c r="B34" s="55" t="s">
        <v>213</v>
      </c>
      <c r="C34" s="22">
        <f t="array" ref="C34">AVERAGE(IF(Calc!$E:$E&lt;0, Calc!$C:$C)) / AVERAGE(IF(Calc!$E:$E&lt;0, Calc!$E:$E))</f>
        <v>-7.7575162045942836E-2</v>
      </c>
      <c r="D34" s="20" t="s">
        <v>147</v>
      </c>
      <c r="E34" s="26" t="s">
        <v>103</v>
      </c>
    </row>
    <row r="35" spans="1:15" x14ac:dyDescent="0.3">
      <c r="A35" s="18" t="s">
        <v>148</v>
      </c>
      <c r="B35" s="18" t="s">
        <v>214</v>
      </c>
      <c r="C35" s="22">
        <f t="array" ref="C35">SUMPRODUCT(--(Calc!C5:C76 &gt; Calc!E5:E76)) / (ROWS(Calc!C5:C76))</f>
        <v>0.66666666666666663</v>
      </c>
      <c r="D35" s="20" t="s">
        <v>149</v>
      </c>
      <c r="E35" s="26" t="s">
        <v>103</v>
      </c>
      <c r="O35" s="15" t="s">
        <v>150</v>
      </c>
    </row>
    <row r="36" spans="1:15" x14ac:dyDescent="0.3">
      <c r="A36" s="60" t="s">
        <v>231</v>
      </c>
      <c r="B36" s="61"/>
      <c r="C36" s="61"/>
      <c r="D36" s="61"/>
      <c r="E36" s="62"/>
      <c r="O36" s="15"/>
    </row>
    <row r="37" spans="1:15" x14ac:dyDescent="0.3">
      <c r="A37" s="18" t="s">
        <v>151</v>
      </c>
      <c r="B37" s="18" t="s">
        <v>215</v>
      </c>
      <c r="C37" s="23">
        <f>SKEW(Calc!$C:$C)</f>
        <v>0.10980360266831195</v>
      </c>
      <c r="D37" s="20" t="s">
        <v>152</v>
      </c>
      <c r="E37" s="27" t="s">
        <v>100</v>
      </c>
    </row>
    <row r="38" spans="1:15" x14ac:dyDescent="0.3">
      <c r="A38" s="18" t="s">
        <v>153</v>
      </c>
      <c r="B38" s="18" t="s">
        <v>216</v>
      </c>
      <c r="C38" s="18">
        <f>KURT(Calc!$C:$C)</f>
        <v>3.1492157646969661</v>
      </c>
      <c r="D38" s="20" t="s">
        <v>154</v>
      </c>
      <c r="E38" s="27" t="s">
        <v>100</v>
      </c>
      <c r="O38" s="15" t="s">
        <v>155</v>
      </c>
    </row>
    <row r="39" spans="1:15" x14ac:dyDescent="0.3">
      <c r="A39" s="18" t="s">
        <v>156</v>
      </c>
      <c r="B39" s="18" t="s">
        <v>217</v>
      </c>
      <c r="C39" s="22">
        <f>_xlfn.PERCENTILE.INC(Calc!$C:$C, 0.05)</f>
        <v>-6.8522287806649873E-2</v>
      </c>
      <c r="D39" s="20" t="s">
        <v>157</v>
      </c>
      <c r="E39" s="27" t="s">
        <v>100</v>
      </c>
    </row>
    <row r="40" spans="1:15" x14ac:dyDescent="0.3">
      <c r="A40" s="60" t="s">
        <v>232</v>
      </c>
      <c r="B40" s="61"/>
      <c r="C40" s="61"/>
      <c r="D40" s="61"/>
      <c r="E40" s="62"/>
    </row>
    <row r="41" spans="1:15" x14ac:dyDescent="0.3">
      <c r="A41" s="18" t="s">
        <v>85</v>
      </c>
      <c r="B41" s="25" t="s">
        <v>233</v>
      </c>
      <c r="C41" s="22">
        <f>SIP!J5</f>
        <v>0.26191096901893618</v>
      </c>
      <c r="D41" s="20" t="s">
        <v>158</v>
      </c>
      <c r="E41" s="26" t="s">
        <v>103</v>
      </c>
      <c r="O41" s="15" t="s">
        <v>159</v>
      </c>
    </row>
    <row r="42" spans="1:15" x14ac:dyDescent="0.3">
      <c r="A42" s="18" t="s">
        <v>160</v>
      </c>
      <c r="B42" s="25" t="s">
        <v>234</v>
      </c>
      <c r="C42" s="18">
        <f>SIP!J4</f>
        <v>148536.51426959533</v>
      </c>
      <c r="D42" s="20" t="s">
        <v>161</v>
      </c>
      <c r="E42" s="27" t="s">
        <v>100</v>
      </c>
    </row>
    <row r="43" spans="1:15" x14ac:dyDescent="0.3">
      <c r="A43" s="18" t="s">
        <v>162</v>
      </c>
      <c r="B43" s="18" t="s">
        <v>235</v>
      </c>
      <c r="C43" s="18">
        <f>SIP!J2</f>
        <v>908.66360959456847</v>
      </c>
      <c r="D43" s="20" t="s">
        <v>163</v>
      </c>
      <c r="E43" s="27" t="s">
        <v>100</v>
      </c>
      <c r="O43" s="15" t="s">
        <v>164</v>
      </c>
    </row>
    <row r="45" spans="1:15" x14ac:dyDescent="0.3">
      <c r="A45" s="14" t="s">
        <v>165</v>
      </c>
      <c r="B45" s="14"/>
      <c r="O45" s="15" t="s">
        <v>166</v>
      </c>
    </row>
    <row r="46" spans="1:15" x14ac:dyDescent="0.3">
      <c r="A46" s="47" t="s">
        <v>167</v>
      </c>
    </row>
    <row r="47" spans="1:15" x14ac:dyDescent="0.3">
      <c r="A47" s="47" t="s">
        <v>168</v>
      </c>
      <c r="O47" s="15" t="s">
        <v>169</v>
      </c>
    </row>
    <row r="48" spans="1:15" x14ac:dyDescent="0.3">
      <c r="A48" s="47" t="s">
        <v>170</v>
      </c>
    </row>
    <row r="49" spans="1:15" x14ac:dyDescent="0.3">
      <c r="A49" s="47" t="s">
        <v>171</v>
      </c>
      <c r="O49" s="15" t="s">
        <v>172</v>
      </c>
    </row>
    <row r="50" spans="1:15" x14ac:dyDescent="0.3">
      <c r="A50" s="47" t="s">
        <v>173</v>
      </c>
    </row>
    <row r="51" spans="1:15" x14ac:dyDescent="0.3">
      <c r="A51" s="47" t="s">
        <v>174</v>
      </c>
      <c r="O51" s="15" t="s">
        <v>175</v>
      </c>
    </row>
    <row r="52" spans="1:15" x14ac:dyDescent="0.3">
      <c r="A52" s="47" t="s">
        <v>176</v>
      </c>
    </row>
    <row r="53" spans="1:15" x14ac:dyDescent="0.3">
      <c r="O53" s="15" t="s">
        <v>177</v>
      </c>
    </row>
    <row r="55" spans="1:15" x14ac:dyDescent="0.3">
      <c r="O55" s="15" t="s">
        <v>178</v>
      </c>
    </row>
    <row r="57" spans="1:15" x14ac:dyDescent="0.3">
      <c r="O57" s="15" t="s">
        <v>179</v>
      </c>
    </row>
    <row r="59" spans="1:15" x14ac:dyDescent="0.3">
      <c r="O59" s="15" t="s">
        <v>180</v>
      </c>
    </row>
    <row r="61" spans="1:15" x14ac:dyDescent="0.3">
      <c r="O61" s="15" t="s">
        <v>181</v>
      </c>
    </row>
    <row r="63" spans="1:15" x14ac:dyDescent="0.3">
      <c r="O63" s="15" t="s">
        <v>182</v>
      </c>
    </row>
    <row r="65" spans="15:15" x14ac:dyDescent="0.3">
      <c r="O65" s="15" t="s">
        <v>183</v>
      </c>
    </row>
    <row r="67" spans="15:15" x14ac:dyDescent="0.3">
      <c r="O67" s="15" t="s">
        <v>184</v>
      </c>
    </row>
  </sheetData>
  <mergeCells count="9">
    <mergeCell ref="A7:E7"/>
    <mergeCell ref="A12:E12"/>
    <mergeCell ref="A20:E20"/>
    <mergeCell ref="A25:E25"/>
    <mergeCell ref="A28:E28"/>
    <mergeCell ref="A32:E32"/>
    <mergeCell ref="A36:E36"/>
    <mergeCell ref="A40:E40"/>
    <mergeCell ref="A16:E16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49"/>
  <sheetViews>
    <sheetView workbookViewId="0">
      <selection activeCell="G10" sqref="G10"/>
    </sheetView>
  </sheetViews>
  <sheetFormatPr defaultRowHeight="14.4" x14ac:dyDescent="0.3"/>
  <cols>
    <col min="1" max="1" width="8.88671875" style="7" customWidth="1"/>
    <col min="2" max="2" width="8.44140625" style="7" bestFit="1" customWidth="1"/>
    <col min="3" max="4" width="16.5546875" style="8" customWidth="1"/>
    <col min="5" max="5" width="16.5546875" style="9" customWidth="1"/>
    <col min="6" max="6" width="12.5546875" style="10" bestFit="1" customWidth="1"/>
    <col min="7" max="7" width="14.88671875" bestFit="1" customWidth="1"/>
  </cols>
  <sheetData>
    <row r="1" spans="1:6" x14ac:dyDescent="0.3">
      <c r="A1" s="63" t="s">
        <v>63</v>
      </c>
      <c r="B1" s="64"/>
      <c r="C1" s="64"/>
      <c r="D1" s="64"/>
      <c r="E1" s="64"/>
      <c r="F1" s="64"/>
    </row>
    <row r="2" spans="1:6" x14ac:dyDescent="0.3">
      <c r="A2" s="44" t="s">
        <v>185</v>
      </c>
      <c r="B2" s="31" t="s">
        <v>186</v>
      </c>
      <c r="C2" s="31" t="s">
        <v>187</v>
      </c>
      <c r="D2" s="44" t="s">
        <v>188</v>
      </c>
      <c r="E2" s="44" t="s">
        <v>187</v>
      </c>
      <c r="F2" s="44" t="s">
        <v>189</v>
      </c>
    </row>
    <row r="3" spans="1:6" x14ac:dyDescent="0.3">
      <c r="A3" s="48">
        <v>43831</v>
      </c>
      <c r="B3" s="49">
        <v>39.767499999999998</v>
      </c>
      <c r="C3" s="50">
        <f t="shared" ref="C3:C66" si="0">EOMONTH(A3,0)</f>
        <v>43861</v>
      </c>
      <c r="D3" s="51">
        <f t="shared" ref="D3:D66" si="1">INDEX($B$3:$B$2001, MATCH($C3, $A$3:$A$2001, 1))</f>
        <v>40.256799999999998</v>
      </c>
      <c r="E3" s="52">
        <v>43861</v>
      </c>
      <c r="F3" s="53">
        <f t="shared" ref="F3:F34" si="2">VLOOKUP(E3,$C$2:$D$1449,2,0)</f>
        <v>40.256799999999998</v>
      </c>
    </row>
    <row r="4" spans="1:6" x14ac:dyDescent="0.3">
      <c r="A4" s="48">
        <v>43832</v>
      </c>
      <c r="B4" s="49">
        <v>40.083399999999997</v>
      </c>
      <c r="C4" s="50">
        <f t="shared" si="0"/>
        <v>43861</v>
      </c>
      <c r="D4" s="51">
        <f t="shared" si="1"/>
        <v>40.256799999999998</v>
      </c>
      <c r="E4" s="52">
        <v>43890</v>
      </c>
      <c r="F4" s="53">
        <f t="shared" si="2"/>
        <v>39.144399999999997</v>
      </c>
    </row>
    <row r="5" spans="1:6" x14ac:dyDescent="0.3">
      <c r="A5" s="48">
        <v>43833</v>
      </c>
      <c r="B5" s="49">
        <v>40.009900000000002</v>
      </c>
      <c r="C5" s="50">
        <f t="shared" si="0"/>
        <v>43861</v>
      </c>
      <c r="D5" s="51">
        <f t="shared" si="1"/>
        <v>40.256799999999998</v>
      </c>
      <c r="E5" s="52">
        <v>43921</v>
      </c>
      <c r="F5" s="53">
        <f t="shared" si="2"/>
        <v>30.860800000000001</v>
      </c>
    </row>
    <row r="6" spans="1:6" x14ac:dyDescent="0.3">
      <c r="A6" s="48">
        <v>43836</v>
      </c>
      <c r="B6" s="49">
        <v>39.328499999999998</v>
      </c>
      <c r="C6" s="50">
        <f t="shared" si="0"/>
        <v>43861</v>
      </c>
      <c r="D6" s="51">
        <f t="shared" si="1"/>
        <v>40.256799999999998</v>
      </c>
      <c r="E6" s="52">
        <v>43951</v>
      </c>
      <c r="F6" s="53">
        <f t="shared" si="2"/>
        <v>34.441099999999999</v>
      </c>
    </row>
    <row r="7" spans="1:6" x14ac:dyDescent="0.3">
      <c r="A7" s="48">
        <v>43837</v>
      </c>
      <c r="B7" s="49">
        <v>39.541200000000003</v>
      </c>
      <c r="C7" s="50">
        <f t="shared" si="0"/>
        <v>43861</v>
      </c>
      <c r="D7" s="51">
        <f t="shared" si="1"/>
        <v>40.256799999999998</v>
      </c>
      <c r="E7" s="52">
        <v>43982</v>
      </c>
      <c r="F7" s="53">
        <f t="shared" si="2"/>
        <v>34.025500000000001</v>
      </c>
    </row>
    <row r="8" spans="1:6" x14ac:dyDescent="0.3">
      <c r="A8" s="48">
        <v>43838</v>
      </c>
      <c r="B8" s="49">
        <v>39.561399999999999</v>
      </c>
      <c r="C8" s="50">
        <f t="shared" si="0"/>
        <v>43861</v>
      </c>
      <c r="D8" s="51">
        <f t="shared" si="1"/>
        <v>40.256799999999998</v>
      </c>
      <c r="E8" s="52">
        <v>44012</v>
      </c>
      <c r="F8" s="53">
        <f t="shared" si="2"/>
        <v>36.039200000000001</v>
      </c>
    </row>
    <row r="9" spans="1:6" x14ac:dyDescent="0.3">
      <c r="A9" s="48">
        <v>43839</v>
      </c>
      <c r="B9" s="49">
        <v>40.004800000000003</v>
      </c>
      <c r="C9" s="50">
        <f t="shared" si="0"/>
        <v>43861</v>
      </c>
      <c r="D9" s="51">
        <f t="shared" si="1"/>
        <v>40.256799999999998</v>
      </c>
      <c r="E9" s="52">
        <v>44043</v>
      </c>
      <c r="F9" s="53">
        <f t="shared" si="2"/>
        <v>43.588099999999997</v>
      </c>
    </row>
    <row r="10" spans="1:6" x14ac:dyDescent="0.3">
      <c r="A10" s="48">
        <v>43840</v>
      </c>
      <c r="B10" s="49">
        <v>40.154000000000003</v>
      </c>
      <c r="C10" s="50">
        <f t="shared" si="0"/>
        <v>43861</v>
      </c>
      <c r="D10" s="51">
        <f t="shared" si="1"/>
        <v>40.256799999999998</v>
      </c>
      <c r="E10" s="52">
        <v>44074</v>
      </c>
      <c r="F10" s="53">
        <f t="shared" si="2"/>
        <v>45.274900000000002</v>
      </c>
    </row>
    <row r="11" spans="1:6" x14ac:dyDescent="0.3">
      <c r="A11" s="48">
        <v>43843</v>
      </c>
      <c r="B11" s="49">
        <v>40.419499999999999</v>
      </c>
      <c r="C11" s="50">
        <f t="shared" si="0"/>
        <v>43861</v>
      </c>
      <c r="D11" s="51">
        <f t="shared" si="1"/>
        <v>40.256799999999998</v>
      </c>
      <c r="E11" s="52">
        <v>44104</v>
      </c>
      <c r="F11" s="53">
        <f t="shared" si="2"/>
        <v>46.104900000000001</v>
      </c>
    </row>
    <row r="12" spans="1:6" x14ac:dyDescent="0.3">
      <c r="A12" s="48">
        <v>43844</v>
      </c>
      <c r="B12" s="49">
        <v>40.5304</v>
      </c>
      <c r="C12" s="50">
        <f t="shared" si="0"/>
        <v>43861</v>
      </c>
      <c r="D12" s="51">
        <f t="shared" si="1"/>
        <v>40.256799999999998</v>
      </c>
      <c r="E12" s="52">
        <v>44135</v>
      </c>
      <c r="F12" s="53">
        <f t="shared" si="2"/>
        <v>47.628300000000003</v>
      </c>
    </row>
    <row r="13" spans="1:6" x14ac:dyDescent="0.3">
      <c r="A13" s="48">
        <v>43845</v>
      </c>
      <c r="B13" s="49">
        <v>40.252899999999997</v>
      </c>
      <c r="C13" s="50">
        <f t="shared" si="0"/>
        <v>43861</v>
      </c>
      <c r="D13" s="51">
        <f t="shared" si="1"/>
        <v>40.256799999999998</v>
      </c>
      <c r="E13" s="52">
        <v>44165</v>
      </c>
      <c r="F13" s="53">
        <f t="shared" si="2"/>
        <v>48.426900000000003</v>
      </c>
    </row>
    <row r="14" spans="1:6" x14ac:dyDescent="0.3">
      <c r="A14" s="48">
        <v>43846</v>
      </c>
      <c r="B14" s="49">
        <v>40.054499999999997</v>
      </c>
      <c r="C14" s="50">
        <f t="shared" si="0"/>
        <v>43861</v>
      </c>
      <c r="D14" s="51">
        <f t="shared" si="1"/>
        <v>40.256799999999998</v>
      </c>
      <c r="E14" s="52">
        <v>44196</v>
      </c>
      <c r="F14" s="53">
        <f t="shared" si="2"/>
        <v>50.5929</v>
      </c>
    </row>
    <row r="15" spans="1:6" x14ac:dyDescent="0.3">
      <c r="A15" s="48">
        <v>43847</v>
      </c>
      <c r="B15" s="49">
        <v>40.247799999999998</v>
      </c>
      <c r="C15" s="50">
        <f t="shared" si="0"/>
        <v>43861</v>
      </c>
      <c r="D15" s="51">
        <f t="shared" si="1"/>
        <v>40.256799999999998</v>
      </c>
      <c r="E15" s="52">
        <v>44227</v>
      </c>
      <c r="F15" s="53">
        <f t="shared" si="2"/>
        <v>49.9191</v>
      </c>
    </row>
    <row r="16" spans="1:6" x14ac:dyDescent="0.3">
      <c r="A16" s="48">
        <v>43850</v>
      </c>
      <c r="B16" s="49">
        <v>40.137500000000003</v>
      </c>
      <c r="C16" s="50">
        <f t="shared" si="0"/>
        <v>43861</v>
      </c>
      <c r="D16" s="51">
        <f t="shared" si="1"/>
        <v>40.256799999999998</v>
      </c>
      <c r="E16" s="52">
        <v>44255</v>
      </c>
      <c r="F16" s="53">
        <f t="shared" si="2"/>
        <v>52.4131</v>
      </c>
    </row>
    <row r="17" spans="1:6" x14ac:dyDescent="0.3">
      <c r="A17" s="48">
        <v>43851</v>
      </c>
      <c r="B17" s="49">
        <v>40.199399999999997</v>
      </c>
      <c r="C17" s="50">
        <f t="shared" si="0"/>
        <v>43861</v>
      </c>
      <c r="D17" s="51">
        <f t="shared" si="1"/>
        <v>40.256799999999998</v>
      </c>
      <c r="E17" s="52">
        <v>44286</v>
      </c>
      <c r="F17" s="53">
        <f t="shared" si="2"/>
        <v>54.206499999999998</v>
      </c>
    </row>
    <row r="18" spans="1:6" x14ac:dyDescent="0.3">
      <c r="A18" s="48">
        <v>43852</v>
      </c>
      <c r="B18" s="49">
        <v>40.262799999999999</v>
      </c>
      <c r="C18" s="50">
        <f t="shared" si="0"/>
        <v>43861</v>
      </c>
      <c r="D18" s="51">
        <f t="shared" si="1"/>
        <v>40.256799999999998</v>
      </c>
      <c r="E18" s="52">
        <v>44316</v>
      </c>
      <c r="F18" s="53">
        <f t="shared" si="2"/>
        <v>61.483699999999999</v>
      </c>
    </row>
    <row r="19" spans="1:6" x14ac:dyDescent="0.3">
      <c r="A19" s="48">
        <v>43853</v>
      </c>
      <c r="B19" s="49">
        <v>40.636600000000001</v>
      </c>
      <c r="C19" s="50">
        <f t="shared" si="0"/>
        <v>43861</v>
      </c>
      <c r="D19" s="51">
        <f t="shared" si="1"/>
        <v>40.256799999999998</v>
      </c>
      <c r="E19" s="52">
        <v>44347</v>
      </c>
      <c r="F19" s="53">
        <f t="shared" si="2"/>
        <v>68.411299999999997</v>
      </c>
    </row>
    <row r="20" spans="1:6" x14ac:dyDescent="0.3">
      <c r="A20" s="48">
        <v>43854</v>
      </c>
      <c r="B20" s="49">
        <v>41.004399999999997</v>
      </c>
      <c r="C20" s="50">
        <f t="shared" si="0"/>
        <v>43861</v>
      </c>
      <c r="D20" s="51">
        <f t="shared" si="1"/>
        <v>40.256799999999998</v>
      </c>
      <c r="E20" s="52">
        <v>44377</v>
      </c>
      <c r="F20" s="53">
        <f t="shared" si="2"/>
        <v>70.886300000000006</v>
      </c>
    </row>
    <row r="21" spans="1:6" x14ac:dyDescent="0.3">
      <c r="A21" s="48">
        <v>43857</v>
      </c>
      <c r="B21" s="49">
        <v>40.905900000000003</v>
      </c>
      <c r="C21" s="50">
        <f t="shared" si="0"/>
        <v>43861</v>
      </c>
      <c r="D21" s="51">
        <f t="shared" si="1"/>
        <v>40.256799999999998</v>
      </c>
      <c r="E21" s="52">
        <v>44408</v>
      </c>
      <c r="F21" s="53">
        <f t="shared" si="2"/>
        <v>74.050399999999996</v>
      </c>
    </row>
    <row r="22" spans="1:6" x14ac:dyDescent="0.3">
      <c r="A22" s="48">
        <v>43858</v>
      </c>
      <c r="B22" s="49">
        <v>40.595700000000001</v>
      </c>
      <c r="C22" s="50">
        <f t="shared" si="0"/>
        <v>43861</v>
      </c>
      <c r="D22" s="51">
        <f t="shared" si="1"/>
        <v>40.256799999999998</v>
      </c>
      <c r="E22" s="52">
        <v>44439</v>
      </c>
      <c r="F22" s="53">
        <f t="shared" si="2"/>
        <v>72.046899999999994</v>
      </c>
    </row>
    <row r="23" spans="1:6" x14ac:dyDescent="0.3">
      <c r="A23" s="48">
        <v>43859</v>
      </c>
      <c r="B23" s="49">
        <v>40.723799999999997</v>
      </c>
      <c r="C23" s="50">
        <f t="shared" si="0"/>
        <v>43861</v>
      </c>
      <c r="D23" s="51">
        <f t="shared" si="1"/>
        <v>40.256799999999998</v>
      </c>
      <c r="E23" s="52">
        <v>44469</v>
      </c>
      <c r="F23" s="53">
        <f t="shared" si="2"/>
        <v>74.577699999999993</v>
      </c>
    </row>
    <row r="24" spans="1:6" x14ac:dyDescent="0.3">
      <c r="A24" s="48">
        <v>43860</v>
      </c>
      <c r="B24" s="49">
        <v>40.286999999999999</v>
      </c>
      <c r="C24" s="50">
        <f t="shared" si="0"/>
        <v>43861</v>
      </c>
      <c r="D24" s="51">
        <f t="shared" si="1"/>
        <v>40.256799999999998</v>
      </c>
      <c r="E24" s="52">
        <v>44500</v>
      </c>
      <c r="F24" s="53">
        <f t="shared" si="2"/>
        <v>76.333299999999994</v>
      </c>
    </row>
    <row r="25" spans="1:6" x14ac:dyDescent="0.3">
      <c r="A25" s="48">
        <v>43861</v>
      </c>
      <c r="B25" s="49">
        <v>40.256799999999998</v>
      </c>
      <c r="C25" s="50">
        <f t="shared" si="0"/>
        <v>43861</v>
      </c>
      <c r="D25" s="51">
        <f t="shared" si="1"/>
        <v>40.256799999999998</v>
      </c>
      <c r="E25" s="52">
        <v>44530</v>
      </c>
      <c r="F25" s="53">
        <f t="shared" si="2"/>
        <v>76.696399999999997</v>
      </c>
    </row>
    <row r="26" spans="1:6" x14ac:dyDescent="0.3">
      <c r="A26" s="48">
        <v>43864</v>
      </c>
      <c r="B26" s="49">
        <v>39.0959</v>
      </c>
      <c r="C26" s="50">
        <f t="shared" si="0"/>
        <v>43890</v>
      </c>
      <c r="D26" s="51">
        <f t="shared" si="1"/>
        <v>39.144399999999997</v>
      </c>
      <c r="E26" s="52">
        <v>44561</v>
      </c>
      <c r="F26" s="53">
        <f t="shared" si="2"/>
        <v>79.413300000000007</v>
      </c>
    </row>
    <row r="27" spans="1:6" x14ac:dyDescent="0.3">
      <c r="A27" s="48">
        <v>43865</v>
      </c>
      <c r="B27" s="49">
        <v>39.526499999999999</v>
      </c>
      <c r="C27" s="50">
        <f t="shared" si="0"/>
        <v>43890</v>
      </c>
      <c r="D27" s="51">
        <f t="shared" si="1"/>
        <v>39.144399999999997</v>
      </c>
      <c r="E27" s="52">
        <v>44592</v>
      </c>
      <c r="F27" s="53">
        <f t="shared" si="2"/>
        <v>81.138000000000005</v>
      </c>
    </row>
    <row r="28" spans="1:6" x14ac:dyDescent="0.3">
      <c r="A28" s="48">
        <v>43866</v>
      </c>
      <c r="B28" s="49">
        <v>39.625100000000003</v>
      </c>
      <c r="C28" s="50">
        <f t="shared" si="0"/>
        <v>43890</v>
      </c>
      <c r="D28" s="51">
        <f t="shared" si="1"/>
        <v>39.144399999999997</v>
      </c>
      <c r="E28" s="52">
        <v>44620</v>
      </c>
      <c r="F28" s="53">
        <f t="shared" si="2"/>
        <v>76.705600000000004</v>
      </c>
    </row>
    <row r="29" spans="1:6" x14ac:dyDescent="0.3">
      <c r="A29" s="48">
        <v>43867</v>
      </c>
      <c r="B29" s="49">
        <v>40.048200000000001</v>
      </c>
      <c r="C29" s="50">
        <f t="shared" si="0"/>
        <v>43890</v>
      </c>
      <c r="D29" s="51">
        <f t="shared" si="1"/>
        <v>39.144399999999997</v>
      </c>
      <c r="E29" s="52">
        <v>44651</v>
      </c>
      <c r="F29" s="53">
        <f t="shared" si="2"/>
        <v>82.869900000000001</v>
      </c>
    </row>
    <row r="30" spans="1:6" x14ac:dyDescent="0.3">
      <c r="A30" s="48">
        <v>43868</v>
      </c>
      <c r="B30" s="49">
        <v>40.569899999999997</v>
      </c>
      <c r="C30" s="50">
        <f t="shared" si="0"/>
        <v>43890</v>
      </c>
      <c r="D30" s="51">
        <f t="shared" si="1"/>
        <v>39.144399999999997</v>
      </c>
      <c r="E30" s="52">
        <v>44681</v>
      </c>
      <c r="F30" s="53">
        <f t="shared" si="2"/>
        <v>85.196399999999997</v>
      </c>
    </row>
    <row r="31" spans="1:6" x14ac:dyDescent="0.3">
      <c r="A31" s="48">
        <v>43871</v>
      </c>
      <c r="B31" s="49">
        <v>40.5199</v>
      </c>
      <c r="C31" s="50">
        <f t="shared" si="0"/>
        <v>43890</v>
      </c>
      <c r="D31" s="51">
        <f t="shared" si="1"/>
        <v>39.144399999999997</v>
      </c>
      <c r="E31" s="52">
        <v>44712</v>
      </c>
      <c r="F31" s="53">
        <f t="shared" si="2"/>
        <v>79.678100000000001</v>
      </c>
    </row>
    <row r="32" spans="1:6" x14ac:dyDescent="0.3">
      <c r="A32" s="48">
        <v>43872</v>
      </c>
      <c r="B32" s="49">
        <v>40.752499999999998</v>
      </c>
      <c r="C32" s="50">
        <f t="shared" si="0"/>
        <v>43890</v>
      </c>
      <c r="D32" s="51">
        <f t="shared" si="1"/>
        <v>39.144399999999997</v>
      </c>
      <c r="E32" s="52">
        <v>44742</v>
      </c>
      <c r="F32" s="53">
        <f t="shared" si="2"/>
        <v>75.992999999999995</v>
      </c>
    </row>
    <row r="33" spans="1:6" x14ac:dyDescent="0.3">
      <c r="A33" s="48">
        <v>43873</v>
      </c>
      <c r="B33" s="49">
        <v>40.943300000000001</v>
      </c>
      <c r="C33" s="50">
        <f t="shared" si="0"/>
        <v>43890</v>
      </c>
      <c r="D33" s="51">
        <f t="shared" si="1"/>
        <v>39.144399999999997</v>
      </c>
      <c r="E33" s="52">
        <v>44773</v>
      </c>
      <c r="F33" s="53">
        <f t="shared" si="2"/>
        <v>81.361500000000007</v>
      </c>
    </row>
    <row r="34" spans="1:6" x14ac:dyDescent="0.3">
      <c r="A34" s="48">
        <v>43874</v>
      </c>
      <c r="B34" s="49">
        <v>40.8414</v>
      </c>
      <c r="C34" s="50">
        <f t="shared" si="0"/>
        <v>43890</v>
      </c>
      <c r="D34" s="51">
        <f t="shared" si="1"/>
        <v>39.144399999999997</v>
      </c>
      <c r="E34" s="52">
        <v>44804</v>
      </c>
      <c r="F34" s="53">
        <f t="shared" si="2"/>
        <v>85.380099999999999</v>
      </c>
    </row>
    <row r="35" spans="1:6" x14ac:dyDescent="0.3">
      <c r="A35" s="48">
        <v>43875</v>
      </c>
      <c r="B35" s="49">
        <v>40.602899999999998</v>
      </c>
      <c r="C35" s="50">
        <f t="shared" si="0"/>
        <v>43890</v>
      </c>
      <c r="D35" s="51">
        <f t="shared" si="1"/>
        <v>39.144399999999997</v>
      </c>
      <c r="E35" s="52">
        <v>44834</v>
      </c>
      <c r="F35" s="53">
        <f t="shared" ref="F35:F66" si="3">VLOOKUP(E35,$C$2:$D$1449,2,0)</f>
        <v>86.575800000000001</v>
      </c>
    </row>
    <row r="36" spans="1:6" x14ac:dyDescent="0.3">
      <c r="A36" s="48">
        <v>43878</v>
      </c>
      <c r="B36" s="49">
        <v>40.422400000000003</v>
      </c>
      <c r="C36" s="50">
        <f t="shared" si="0"/>
        <v>43890</v>
      </c>
      <c r="D36" s="51">
        <f t="shared" si="1"/>
        <v>39.144399999999997</v>
      </c>
      <c r="E36" s="52">
        <v>44865</v>
      </c>
      <c r="F36" s="53">
        <f t="shared" si="3"/>
        <v>88.990099999999998</v>
      </c>
    </row>
    <row r="37" spans="1:6" x14ac:dyDescent="0.3">
      <c r="A37" s="48">
        <v>43879</v>
      </c>
      <c r="B37" s="49">
        <v>40.302</v>
      </c>
      <c r="C37" s="50">
        <f t="shared" si="0"/>
        <v>43890</v>
      </c>
      <c r="D37" s="51">
        <f t="shared" si="1"/>
        <v>39.144399999999997</v>
      </c>
      <c r="E37" s="52">
        <v>44895</v>
      </c>
      <c r="F37" s="53">
        <f t="shared" si="3"/>
        <v>91.430599999999998</v>
      </c>
    </row>
    <row r="38" spans="1:6" x14ac:dyDescent="0.3">
      <c r="A38" s="48">
        <v>43880</v>
      </c>
      <c r="B38" s="49">
        <v>41.065300000000001</v>
      </c>
      <c r="C38" s="50">
        <f t="shared" si="0"/>
        <v>43890</v>
      </c>
      <c r="D38" s="51">
        <f t="shared" si="1"/>
        <v>39.144399999999997</v>
      </c>
      <c r="E38" s="52">
        <v>44926</v>
      </c>
      <c r="F38" s="53">
        <f t="shared" si="3"/>
        <v>91.551299999999998</v>
      </c>
    </row>
    <row r="39" spans="1:6" x14ac:dyDescent="0.3">
      <c r="A39" s="48">
        <v>43881</v>
      </c>
      <c r="B39" s="49">
        <v>41.383000000000003</v>
      </c>
      <c r="C39" s="50">
        <f t="shared" si="0"/>
        <v>43890</v>
      </c>
      <c r="D39" s="51">
        <f t="shared" si="1"/>
        <v>39.144399999999997</v>
      </c>
      <c r="E39" s="52">
        <v>44957</v>
      </c>
      <c r="F39" s="53">
        <f t="shared" si="3"/>
        <v>90.233000000000004</v>
      </c>
    </row>
    <row r="40" spans="1:6" x14ac:dyDescent="0.3">
      <c r="A40" s="48">
        <v>43885</v>
      </c>
      <c r="B40" s="49">
        <v>41.3249</v>
      </c>
      <c r="C40" s="50">
        <f t="shared" si="0"/>
        <v>43890</v>
      </c>
      <c r="D40" s="51">
        <f t="shared" si="1"/>
        <v>39.144399999999997</v>
      </c>
      <c r="E40" s="52">
        <v>44985</v>
      </c>
      <c r="F40" s="53">
        <f t="shared" si="3"/>
        <v>87.061700000000002</v>
      </c>
    </row>
    <row r="41" spans="1:6" x14ac:dyDescent="0.3">
      <c r="A41" s="48">
        <v>43886</v>
      </c>
      <c r="B41" s="49">
        <v>40.9358</v>
      </c>
      <c r="C41" s="50">
        <f t="shared" si="0"/>
        <v>43890</v>
      </c>
      <c r="D41" s="51">
        <f t="shared" si="1"/>
        <v>39.144399999999997</v>
      </c>
      <c r="E41" s="52">
        <v>45016</v>
      </c>
      <c r="F41" s="53">
        <f t="shared" si="3"/>
        <v>88.200500000000005</v>
      </c>
    </row>
    <row r="42" spans="1:6" x14ac:dyDescent="0.3">
      <c r="A42" s="48">
        <v>43887</v>
      </c>
      <c r="B42" s="49">
        <v>40.475099999999998</v>
      </c>
      <c r="C42" s="50">
        <f t="shared" si="0"/>
        <v>43890</v>
      </c>
      <c r="D42" s="51">
        <f t="shared" si="1"/>
        <v>39.144399999999997</v>
      </c>
      <c r="E42" s="52">
        <v>45046</v>
      </c>
      <c r="F42" s="53">
        <f t="shared" si="3"/>
        <v>91.859499999999997</v>
      </c>
    </row>
    <row r="43" spans="1:6" x14ac:dyDescent="0.3">
      <c r="A43" s="48">
        <v>43888</v>
      </c>
      <c r="B43" s="49">
        <v>40.531100000000002</v>
      </c>
      <c r="C43" s="50">
        <f t="shared" si="0"/>
        <v>43890</v>
      </c>
      <c r="D43" s="51">
        <f t="shared" si="1"/>
        <v>39.144399999999997</v>
      </c>
      <c r="E43" s="52">
        <v>45077</v>
      </c>
      <c r="F43" s="53">
        <f t="shared" si="3"/>
        <v>91.222099999999998</v>
      </c>
    </row>
    <row r="44" spans="1:6" x14ac:dyDescent="0.3">
      <c r="A44" s="48">
        <v>43889</v>
      </c>
      <c r="B44" s="49">
        <v>39.144399999999997</v>
      </c>
      <c r="C44" s="50">
        <f t="shared" si="0"/>
        <v>43890</v>
      </c>
      <c r="D44" s="51">
        <f t="shared" si="1"/>
        <v>39.144399999999997</v>
      </c>
      <c r="E44" s="52">
        <v>45107</v>
      </c>
      <c r="F44" s="53">
        <f t="shared" si="3"/>
        <v>94.628799999999998</v>
      </c>
    </row>
    <row r="45" spans="1:6" x14ac:dyDescent="0.3">
      <c r="A45" s="48">
        <v>43892</v>
      </c>
      <c r="B45" s="49">
        <v>38.887799999999999</v>
      </c>
      <c r="C45" s="50">
        <f t="shared" si="0"/>
        <v>43921</v>
      </c>
      <c r="D45" s="51">
        <f t="shared" si="1"/>
        <v>30.860800000000001</v>
      </c>
      <c r="E45" s="52">
        <v>45138</v>
      </c>
      <c r="F45" s="53">
        <f t="shared" si="3"/>
        <v>99.491399999999999</v>
      </c>
    </row>
    <row r="46" spans="1:6" x14ac:dyDescent="0.3">
      <c r="A46" s="48">
        <v>43893</v>
      </c>
      <c r="B46" s="49">
        <v>39.270000000000003</v>
      </c>
      <c r="C46" s="50">
        <f t="shared" si="0"/>
        <v>43921</v>
      </c>
      <c r="D46" s="51">
        <f t="shared" si="1"/>
        <v>30.860800000000001</v>
      </c>
      <c r="E46" s="52">
        <v>45169</v>
      </c>
      <c r="F46" s="53">
        <f t="shared" si="3"/>
        <v>98.432000000000002</v>
      </c>
    </row>
    <row r="47" spans="1:6" x14ac:dyDescent="0.3">
      <c r="A47" s="48">
        <v>43894</v>
      </c>
      <c r="B47" s="49">
        <v>39.083199999999998</v>
      </c>
      <c r="C47" s="50">
        <f t="shared" si="0"/>
        <v>43921</v>
      </c>
      <c r="D47" s="51">
        <f t="shared" si="1"/>
        <v>30.860800000000001</v>
      </c>
      <c r="E47" s="52">
        <v>45199</v>
      </c>
      <c r="F47" s="53">
        <f t="shared" si="3"/>
        <v>99.126499999999993</v>
      </c>
    </row>
    <row r="48" spans="1:6" x14ac:dyDescent="0.3">
      <c r="A48" s="48">
        <v>43895</v>
      </c>
      <c r="B48" s="49">
        <v>39.383800000000001</v>
      </c>
      <c r="C48" s="50">
        <f t="shared" si="0"/>
        <v>43921</v>
      </c>
      <c r="D48" s="51">
        <f t="shared" si="1"/>
        <v>30.860800000000001</v>
      </c>
      <c r="E48" s="52">
        <v>45230</v>
      </c>
      <c r="F48" s="53">
        <f t="shared" si="3"/>
        <v>98.960999999999999</v>
      </c>
    </row>
    <row r="49" spans="1:6" x14ac:dyDescent="0.3">
      <c r="A49" s="48">
        <v>43896</v>
      </c>
      <c r="B49" s="49">
        <v>38.924300000000002</v>
      </c>
      <c r="C49" s="50">
        <f t="shared" si="0"/>
        <v>43921</v>
      </c>
      <c r="D49" s="51">
        <f t="shared" si="1"/>
        <v>30.860800000000001</v>
      </c>
      <c r="E49" s="52">
        <v>45260</v>
      </c>
      <c r="F49" s="53">
        <f t="shared" si="3"/>
        <v>105.9502</v>
      </c>
    </row>
    <row r="50" spans="1:6" x14ac:dyDescent="0.3">
      <c r="A50" s="48">
        <v>43899</v>
      </c>
      <c r="B50" s="49">
        <v>37.4803</v>
      </c>
      <c r="C50" s="50">
        <f t="shared" si="0"/>
        <v>43921</v>
      </c>
      <c r="D50" s="51">
        <f t="shared" si="1"/>
        <v>30.860800000000001</v>
      </c>
      <c r="E50" s="52">
        <v>45291</v>
      </c>
      <c r="F50" s="53">
        <f t="shared" si="3"/>
        <v>113.3913</v>
      </c>
    </row>
    <row r="51" spans="1:6" x14ac:dyDescent="0.3">
      <c r="A51" s="48">
        <v>43901</v>
      </c>
      <c r="B51" s="49">
        <v>37.298000000000002</v>
      </c>
      <c r="C51" s="50">
        <f t="shared" si="0"/>
        <v>43921</v>
      </c>
      <c r="D51" s="51">
        <f t="shared" si="1"/>
        <v>30.860800000000001</v>
      </c>
      <c r="E51" s="52">
        <v>45322</v>
      </c>
      <c r="F51" s="53">
        <f t="shared" si="3"/>
        <v>120.5412</v>
      </c>
    </row>
    <row r="52" spans="1:6" x14ac:dyDescent="0.3">
      <c r="A52" s="48">
        <v>43902</v>
      </c>
      <c r="B52" s="49">
        <v>34.539900000000003</v>
      </c>
      <c r="C52" s="50">
        <f t="shared" si="0"/>
        <v>43921</v>
      </c>
      <c r="D52" s="51">
        <f t="shared" si="1"/>
        <v>30.860800000000001</v>
      </c>
      <c r="E52" s="52">
        <v>45351</v>
      </c>
      <c r="F52" s="53">
        <f t="shared" si="3"/>
        <v>126.8509</v>
      </c>
    </row>
    <row r="53" spans="1:6" x14ac:dyDescent="0.3">
      <c r="A53" s="48">
        <v>43903</v>
      </c>
      <c r="B53" s="49">
        <v>34.670099999999998</v>
      </c>
      <c r="C53" s="50">
        <f t="shared" si="0"/>
        <v>43921</v>
      </c>
      <c r="D53" s="51">
        <f t="shared" si="1"/>
        <v>30.860800000000001</v>
      </c>
      <c r="E53" s="52">
        <v>45382</v>
      </c>
      <c r="F53" s="53">
        <f t="shared" si="3"/>
        <v>128.4136</v>
      </c>
    </row>
    <row r="54" spans="1:6" x14ac:dyDescent="0.3">
      <c r="A54" s="48">
        <v>43906</v>
      </c>
      <c r="B54" s="49">
        <v>32.695</v>
      </c>
      <c r="C54" s="50">
        <f t="shared" si="0"/>
        <v>43921</v>
      </c>
      <c r="D54" s="51">
        <f t="shared" si="1"/>
        <v>30.860800000000001</v>
      </c>
      <c r="E54" s="52">
        <v>45412</v>
      </c>
      <c r="F54" s="53">
        <f t="shared" si="3"/>
        <v>136.8339</v>
      </c>
    </row>
    <row r="55" spans="1:6" x14ac:dyDescent="0.3">
      <c r="A55" s="48">
        <v>43907</v>
      </c>
      <c r="B55" s="49">
        <v>31.498799999999999</v>
      </c>
      <c r="C55" s="50">
        <f t="shared" si="0"/>
        <v>43921</v>
      </c>
      <c r="D55" s="51">
        <f t="shared" si="1"/>
        <v>30.860800000000001</v>
      </c>
      <c r="E55" s="52">
        <v>45443</v>
      </c>
      <c r="F55" s="53">
        <f t="shared" si="3"/>
        <v>138.8331</v>
      </c>
    </row>
    <row r="56" spans="1:6" x14ac:dyDescent="0.3">
      <c r="A56" s="48">
        <v>43908</v>
      </c>
      <c r="B56" s="49">
        <v>30.178899999999999</v>
      </c>
      <c r="C56" s="50">
        <f t="shared" si="0"/>
        <v>43921</v>
      </c>
      <c r="D56" s="51">
        <f t="shared" si="1"/>
        <v>30.860800000000001</v>
      </c>
      <c r="E56" s="52">
        <v>45473</v>
      </c>
      <c r="F56" s="53">
        <f t="shared" si="3"/>
        <v>140.9376</v>
      </c>
    </row>
    <row r="57" spans="1:6" x14ac:dyDescent="0.3">
      <c r="A57" s="48">
        <v>43909</v>
      </c>
      <c r="B57" s="49">
        <v>29.286100000000001</v>
      </c>
      <c r="C57" s="50">
        <f t="shared" si="0"/>
        <v>43921</v>
      </c>
      <c r="D57" s="51">
        <f t="shared" si="1"/>
        <v>30.860800000000001</v>
      </c>
      <c r="E57" s="52">
        <v>45504</v>
      </c>
      <c r="F57" s="53">
        <f t="shared" si="3"/>
        <v>142.17070000000001</v>
      </c>
    </row>
    <row r="58" spans="1:6" x14ac:dyDescent="0.3">
      <c r="A58" s="48">
        <v>43910</v>
      </c>
      <c r="B58" s="49">
        <v>30.281400000000001</v>
      </c>
      <c r="C58" s="50">
        <f t="shared" si="0"/>
        <v>43921</v>
      </c>
      <c r="D58" s="51">
        <f t="shared" si="1"/>
        <v>30.860800000000001</v>
      </c>
      <c r="E58" s="52">
        <v>45535</v>
      </c>
      <c r="F58" s="53">
        <f t="shared" si="3"/>
        <v>141.3777</v>
      </c>
    </row>
    <row r="59" spans="1:6" x14ac:dyDescent="0.3">
      <c r="A59" s="48">
        <v>43913</v>
      </c>
      <c r="B59" s="49">
        <v>27.903500000000001</v>
      </c>
      <c r="C59" s="50">
        <f t="shared" si="0"/>
        <v>43921</v>
      </c>
      <c r="D59" s="51">
        <f t="shared" si="1"/>
        <v>30.860800000000001</v>
      </c>
      <c r="E59" s="52">
        <v>45565</v>
      </c>
      <c r="F59" s="53">
        <f t="shared" si="3"/>
        <v>149.45050000000001</v>
      </c>
    </row>
    <row r="60" spans="1:6" x14ac:dyDescent="0.3">
      <c r="A60" s="48">
        <v>43914</v>
      </c>
      <c r="B60" s="49">
        <v>28.334199999999999</v>
      </c>
      <c r="C60" s="50">
        <f t="shared" si="0"/>
        <v>43921</v>
      </c>
      <c r="D60" s="51">
        <f t="shared" si="1"/>
        <v>30.860800000000001</v>
      </c>
      <c r="E60" s="52">
        <v>45596</v>
      </c>
      <c r="F60" s="53">
        <f t="shared" si="3"/>
        <v>145.16499999999999</v>
      </c>
    </row>
    <row r="61" spans="1:6" x14ac:dyDescent="0.3">
      <c r="A61" s="48">
        <v>43915</v>
      </c>
      <c r="B61" s="49">
        <v>29.374500000000001</v>
      </c>
      <c r="C61" s="50">
        <f t="shared" si="0"/>
        <v>43921</v>
      </c>
      <c r="D61" s="51">
        <f t="shared" si="1"/>
        <v>30.860800000000001</v>
      </c>
      <c r="E61" s="52">
        <v>45626</v>
      </c>
      <c r="F61" s="53">
        <f t="shared" si="3"/>
        <v>146.48949999999999</v>
      </c>
    </row>
    <row r="62" spans="1:6" x14ac:dyDescent="0.3">
      <c r="A62" s="48">
        <v>43916</v>
      </c>
      <c r="B62" s="49">
        <v>30.140499999999999</v>
      </c>
      <c r="C62" s="50">
        <f t="shared" si="0"/>
        <v>43921</v>
      </c>
      <c r="D62" s="51">
        <f t="shared" si="1"/>
        <v>30.860800000000001</v>
      </c>
      <c r="E62" s="52">
        <v>45657</v>
      </c>
      <c r="F62" s="53">
        <f t="shared" si="3"/>
        <v>144.6593</v>
      </c>
    </row>
    <row r="63" spans="1:6" x14ac:dyDescent="0.3">
      <c r="A63" s="48">
        <v>43917</v>
      </c>
      <c r="B63" s="49">
        <v>30.6357</v>
      </c>
      <c r="C63" s="50">
        <f t="shared" si="0"/>
        <v>43921</v>
      </c>
      <c r="D63" s="51">
        <f t="shared" si="1"/>
        <v>30.860800000000001</v>
      </c>
      <c r="E63" s="52">
        <v>45688</v>
      </c>
      <c r="F63" s="53">
        <f t="shared" si="3"/>
        <v>139.68299999999999</v>
      </c>
    </row>
    <row r="64" spans="1:6" x14ac:dyDescent="0.3">
      <c r="A64" s="48">
        <v>43920</v>
      </c>
      <c r="B64" s="49">
        <v>30.657399999999999</v>
      </c>
      <c r="C64" s="50">
        <f t="shared" si="0"/>
        <v>43921</v>
      </c>
      <c r="D64" s="51">
        <f t="shared" si="1"/>
        <v>30.860800000000001</v>
      </c>
      <c r="E64" s="52">
        <v>45716</v>
      </c>
      <c r="F64" s="53">
        <f t="shared" si="3"/>
        <v>131.92850000000001</v>
      </c>
    </row>
    <row r="65" spans="1:6" x14ac:dyDescent="0.3">
      <c r="A65" s="48">
        <v>43921</v>
      </c>
      <c r="B65" s="49">
        <v>30.860800000000001</v>
      </c>
      <c r="C65" s="50">
        <f t="shared" si="0"/>
        <v>43921</v>
      </c>
      <c r="D65" s="51">
        <f t="shared" si="1"/>
        <v>30.860800000000001</v>
      </c>
      <c r="E65" s="52">
        <v>45747</v>
      </c>
      <c r="F65" s="53">
        <f t="shared" si="3"/>
        <v>139.79820000000001</v>
      </c>
    </row>
    <row r="66" spans="1:6" x14ac:dyDescent="0.3">
      <c r="A66" s="48">
        <v>43922</v>
      </c>
      <c r="B66" s="49">
        <v>31.125299999999999</v>
      </c>
      <c r="C66" s="50">
        <f t="shared" si="0"/>
        <v>43951</v>
      </c>
      <c r="D66" s="51">
        <f t="shared" si="1"/>
        <v>34.441099999999999</v>
      </c>
      <c r="E66" s="52">
        <v>45777</v>
      </c>
      <c r="F66" s="53">
        <f t="shared" si="3"/>
        <v>143.3409</v>
      </c>
    </row>
    <row r="67" spans="1:6" x14ac:dyDescent="0.3">
      <c r="A67" s="48">
        <v>43924</v>
      </c>
      <c r="B67" s="49">
        <v>31.034600000000001</v>
      </c>
      <c r="C67" s="50">
        <f t="shared" ref="C67:C130" si="4">EOMONTH(A67,0)</f>
        <v>43951</v>
      </c>
      <c r="D67" s="51">
        <f t="shared" ref="D67:D130" si="5">INDEX($B$3:$B$2001, MATCH($C67, $A$3:$A$2001, 1))</f>
        <v>34.441099999999999</v>
      </c>
      <c r="E67" s="52">
        <v>45808</v>
      </c>
      <c r="F67" s="53">
        <f t="shared" ref="F67:F72" si="6">VLOOKUP(E67,$C$2:$D$1449,2,0)</f>
        <v>149.3261</v>
      </c>
    </row>
    <row r="68" spans="1:6" x14ac:dyDescent="0.3">
      <c r="A68" s="48">
        <v>43928</v>
      </c>
      <c r="B68" s="49">
        <v>32.128399999999999</v>
      </c>
      <c r="C68" s="50">
        <f t="shared" si="4"/>
        <v>43951</v>
      </c>
      <c r="D68" s="51">
        <f t="shared" si="5"/>
        <v>34.441099999999999</v>
      </c>
      <c r="E68" s="52">
        <v>45838</v>
      </c>
      <c r="F68" s="53">
        <f t="shared" si="6"/>
        <v>153.0351</v>
      </c>
    </row>
    <row r="69" spans="1:6" x14ac:dyDescent="0.3">
      <c r="A69" s="48">
        <v>43929</v>
      </c>
      <c r="B69" s="49">
        <v>32.299500000000002</v>
      </c>
      <c r="C69" s="50">
        <f t="shared" si="4"/>
        <v>43951</v>
      </c>
      <c r="D69" s="51">
        <f t="shared" si="5"/>
        <v>34.441099999999999</v>
      </c>
      <c r="E69" s="52">
        <v>45869</v>
      </c>
      <c r="F69" s="53">
        <f t="shared" si="6"/>
        <v>151.7141</v>
      </c>
    </row>
    <row r="70" spans="1:6" x14ac:dyDescent="0.3">
      <c r="A70" s="48">
        <v>43930</v>
      </c>
      <c r="B70" s="49">
        <v>33.518900000000002</v>
      </c>
      <c r="C70" s="50">
        <f t="shared" si="4"/>
        <v>43951</v>
      </c>
      <c r="D70" s="51">
        <f t="shared" si="5"/>
        <v>34.441099999999999</v>
      </c>
      <c r="E70" s="52">
        <v>45900</v>
      </c>
      <c r="F70" s="53">
        <f t="shared" si="6"/>
        <v>150.69710000000001</v>
      </c>
    </row>
    <row r="71" spans="1:6" x14ac:dyDescent="0.3">
      <c r="A71" s="48">
        <v>43934</v>
      </c>
      <c r="B71" s="49">
        <v>34.3658</v>
      </c>
      <c r="C71" s="50">
        <f t="shared" si="4"/>
        <v>43951</v>
      </c>
      <c r="D71" s="51">
        <f t="shared" si="5"/>
        <v>34.441099999999999</v>
      </c>
      <c r="E71" s="52">
        <v>45930</v>
      </c>
      <c r="F71" s="53">
        <f t="shared" si="6"/>
        <v>156.14330000000001</v>
      </c>
    </row>
    <row r="72" spans="1:6" x14ac:dyDescent="0.3">
      <c r="A72" s="48">
        <v>43936</v>
      </c>
      <c r="B72" s="49">
        <v>34.771599999999999</v>
      </c>
      <c r="C72" s="50">
        <f t="shared" si="4"/>
        <v>43951</v>
      </c>
      <c r="D72" s="51">
        <f t="shared" si="5"/>
        <v>34.441099999999999</v>
      </c>
      <c r="E72" s="52">
        <v>45961</v>
      </c>
      <c r="F72" s="53">
        <f t="shared" si="6"/>
        <v>162.8732</v>
      </c>
    </row>
    <row r="73" spans="1:6" x14ac:dyDescent="0.3">
      <c r="A73" s="48">
        <v>43937</v>
      </c>
      <c r="B73" s="49">
        <v>34.7883</v>
      </c>
      <c r="C73" s="50">
        <f t="shared" si="4"/>
        <v>43951</v>
      </c>
      <c r="D73" s="51">
        <f t="shared" si="5"/>
        <v>34.441099999999999</v>
      </c>
      <c r="E73" s="52">
        <v>45972</v>
      </c>
      <c r="F73" s="53">
        <v>163.46700000000001</v>
      </c>
    </row>
    <row r="74" spans="1:6" x14ac:dyDescent="0.3">
      <c r="A74" s="48">
        <v>43938</v>
      </c>
      <c r="B74" s="49">
        <v>34.506799999999998</v>
      </c>
      <c r="C74" s="50">
        <f t="shared" si="4"/>
        <v>43951</v>
      </c>
      <c r="D74" s="51">
        <f t="shared" si="5"/>
        <v>34.441099999999999</v>
      </c>
      <c r="E74" s="52"/>
      <c r="F74" s="53"/>
    </row>
    <row r="75" spans="1:6" x14ac:dyDescent="0.3">
      <c r="A75" s="48">
        <v>43941</v>
      </c>
      <c r="B75" s="49">
        <v>34.5137</v>
      </c>
      <c r="C75" s="50">
        <f t="shared" si="4"/>
        <v>43951</v>
      </c>
      <c r="D75" s="51">
        <f t="shared" si="5"/>
        <v>34.441099999999999</v>
      </c>
      <c r="E75" s="52"/>
      <c r="F75" s="53"/>
    </row>
    <row r="76" spans="1:6" x14ac:dyDescent="0.3">
      <c r="A76" s="48">
        <v>43942</v>
      </c>
      <c r="B76" s="49">
        <v>34.203499999999998</v>
      </c>
      <c r="C76" s="50">
        <f t="shared" si="4"/>
        <v>43951</v>
      </c>
      <c r="D76" s="51">
        <f t="shared" si="5"/>
        <v>34.441099999999999</v>
      </c>
      <c r="E76" s="52"/>
      <c r="F76" s="53"/>
    </row>
    <row r="77" spans="1:6" x14ac:dyDescent="0.3">
      <c r="A77" s="48">
        <v>43943</v>
      </c>
      <c r="B77" s="49">
        <v>33.916800000000002</v>
      </c>
      <c r="C77" s="50">
        <f t="shared" si="4"/>
        <v>43951</v>
      </c>
      <c r="D77" s="51">
        <f t="shared" si="5"/>
        <v>34.441099999999999</v>
      </c>
      <c r="E77" s="52"/>
      <c r="F77" s="53"/>
    </row>
    <row r="78" spans="1:6" x14ac:dyDescent="0.3">
      <c r="A78" s="48">
        <v>43944</v>
      </c>
      <c r="B78" s="49">
        <v>34.256500000000003</v>
      </c>
      <c r="C78" s="50">
        <f t="shared" si="4"/>
        <v>43951</v>
      </c>
      <c r="D78" s="51">
        <f t="shared" si="5"/>
        <v>34.441099999999999</v>
      </c>
      <c r="E78" s="52"/>
      <c r="F78" s="53"/>
    </row>
    <row r="79" spans="1:6" x14ac:dyDescent="0.3">
      <c r="A79" s="48">
        <v>43945</v>
      </c>
      <c r="B79" s="49">
        <v>34.177999999999997</v>
      </c>
      <c r="C79" s="50">
        <f t="shared" si="4"/>
        <v>43951</v>
      </c>
      <c r="D79" s="51">
        <f t="shared" si="5"/>
        <v>34.441099999999999</v>
      </c>
      <c r="E79" s="52"/>
      <c r="F79" s="53"/>
    </row>
    <row r="80" spans="1:6" x14ac:dyDescent="0.3">
      <c r="A80" s="48">
        <v>43948</v>
      </c>
      <c r="B80" s="49">
        <v>34.189799999999998</v>
      </c>
      <c r="C80" s="50">
        <f t="shared" si="4"/>
        <v>43951</v>
      </c>
      <c r="D80" s="51">
        <f t="shared" si="5"/>
        <v>34.441099999999999</v>
      </c>
      <c r="E80" s="52"/>
      <c r="F80" s="53"/>
    </row>
    <row r="81" spans="1:6" x14ac:dyDescent="0.3">
      <c r="A81" s="48">
        <v>43949</v>
      </c>
      <c r="B81" s="49">
        <v>34.173999999999999</v>
      </c>
      <c r="C81" s="50">
        <f t="shared" si="4"/>
        <v>43951</v>
      </c>
      <c r="D81" s="51">
        <f t="shared" si="5"/>
        <v>34.441099999999999</v>
      </c>
      <c r="E81" s="52"/>
      <c r="F81" s="53"/>
    </row>
    <row r="82" spans="1:6" x14ac:dyDescent="0.3">
      <c r="A82" s="48">
        <v>43950</v>
      </c>
      <c r="B82" s="49">
        <v>34.586199999999998</v>
      </c>
      <c r="C82" s="50">
        <f t="shared" si="4"/>
        <v>43951</v>
      </c>
      <c r="D82" s="51">
        <f t="shared" si="5"/>
        <v>34.441099999999999</v>
      </c>
      <c r="E82" s="52"/>
      <c r="F82" s="53"/>
    </row>
    <row r="83" spans="1:6" x14ac:dyDescent="0.3">
      <c r="A83" s="48">
        <v>43951</v>
      </c>
      <c r="B83" s="49">
        <v>34.441099999999999</v>
      </c>
      <c r="C83" s="50">
        <f t="shared" si="4"/>
        <v>43951</v>
      </c>
      <c r="D83" s="51">
        <f t="shared" si="5"/>
        <v>34.441099999999999</v>
      </c>
      <c r="E83" s="52"/>
      <c r="F83" s="53"/>
    </row>
    <row r="84" spans="1:6" x14ac:dyDescent="0.3">
      <c r="A84" s="48">
        <v>43955</v>
      </c>
      <c r="B84" s="49">
        <v>34.621899999999997</v>
      </c>
      <c r="C84" s="50">
        <f t="shared" si="4"/>
        <v>43982</v>
      </c>
      <c r="D84" s="51">
        <f t="shared" si="5"/>
        <v>34.025500000000001</v>
      </c>
      <c r="E84" s="52"/>
      <c r="F84" s="53"/>
    </row>
    <row r="85" spans="1:6" x14ac:dyDescent="0.3">
      <c r="A85" s="48">
        <v>43956</v>
      </c>
      <c r="B85" s="49">
        <v>34.183799999999998</v>
      </c>
      <c r="C85" s="50">
        <f t="shared" si="4"/>
        <v>43982</v>
      </c>
      <c r="D85" s="51">
        <f t="shared" si="5"/>
        <v>34.025500000000001</v>
      </c>
      <c r="E85" s="52"/>
      <c r="F85" s="53"/>
    </row>
    <row r="86" spans="1:6" x14ac:dyDescent="0.3">
      <c r="A86" s="48">
        <v>43957</v>
      </c>
      <c r="B86" s="49">
        <v>34.234099999999998</v>
      </c>
      <c r="C86" s="50">
        <f t="shared" si="4"/>
        <v>43982</v>
      </c>
      <c r="D86" s="51">
        <f t="shared" si="5"/>
        <v>34.025500000000001</v>
      </c>
      <c r="E86" s="52"/>
      <c r="F86" s="53"/>
    </row>
    <row r="87" spans="1:6" x14ac:dyDescent="0.3">
      <c r="A87" s="48">
        <v>43958</v>
      </c>
      <c r="B87" s="49">
        <v>34.0032</v>
      </c>
      <c r="C87" s="50">
        <f t="shared" si="4"/>
        <v>43982</v>
      </c>
      <c r="D87" s="51">
        <f t="shared" si="5"/>
        <v>34.025500000000001</v>
      </c>
      <c r="E87" s="52"/>
      <c r="F87" s="53"/>
    </row>
    <row r="88" spans="1:6" x14ac:dyDescent="0.3">
      <c r="A88" s="48">
        <v>43959</v>
      </c>
      <c r="B88" s="49">
        <v>34.166499999999999</v>
      </c>
      <c r="C88" s="50">
        <f t="shared" si="4"/>
        <v>43982</v>
      </c>
      <c r="D88" s="51">
        <f t="shared" si="5"/>
        <v>34.025500000000001</v>
      </c>
      <c r="E88" s="52"/>
      <c r="F88" s="53"/>
    </row>
    <row r="89" spans="1:6" x14ac:dyDescent="0.3">
      <c r="A89" s="48">
        <v>43962</v>
      </c>
      <c r="B89" s="49">
        <v>34.1036</v>
      </c>
      <c r="C89" s="50">
        <f t="shared" si="4"/>
        <v>43982</v>
      </c>
      <c r="D89" s="51">
        <f t="shared" si="5"/>
        <v>34.025500000000001</v>
      </c>
      <c r="E89" s="52"/>
      <c r="F89" s="53"/>
    </row>
    <row r="90" spans="1:6" x14ac:dyDescent="0.3">
      <c r="A90" s="48">
        <v>43963</v>
      </c>
      <c r="B90" s="49">
        <v>33.877000000000002</v>
      </c>
      <c r="C90" s="50">
        <f t="shared" si="4"/>
        <v>43982</v>
      </c>
      <c r="D90" s="51">
        <f t="shared" si="5"/>
        <v>34.025500000000001</v>
      </c>
      <c r="E90" s="52"/>
      <c r="F90" s="53"/>
    </row>
    <row r="91" spans="1:6" x14ac:dyDescent="0.3">
      <c r="A91" s="48">
        <v>43964</v>
      </c>
      <c r="B91" s="49">
        <v>33.954700000000003</v>
      </c>
      <c r="C91" s="50">
        <f t="shared" si="4"/>
        <v>43982</v>
      </c>
      <c r="D91" s="51">
        <f t="shared" si="5"/>
        <v>34.025500000000001</v>
      </c>
      <c r="E91" s="52"/>
      <c r="F91" s="53"/>
    </row>
    <row r="92" spans="1:6" x14ac:dyDescent="0.3">
      <c r="A92" s="48">
        <v>43965</v>
      </c>
      <c r="B92" s="49">
        <v>34.2759</v>
      </c>
      <c r="C92" s="50">
        <f t="shared" si="4"/>
        <v>43982</v>
      </c>
      <c r="D92" s="51">
        <f t="shared" si="5"/>
        <v>34.025500000000001</v>
      </c>
      <c r="E92" s="52"/>
      <c r="F92" s="53"/>
    </row>
    <row r="93" spans="1:6" x14ac:dyDescent="0.3">
      <c r="A93" s="48">
        <v>43966</v>
      </c>
      <c r="B93" s="49">
        <v>34.368899999999996</v>
      </c>
      <c r="C93" s="50">
        <f t="shared" si="4"/>
        <v>43982</v>
      </c>
      <c r="D93" s="51">
        <f t="shared" si="5"/>
        <v>34.025500000000001</v>
      </c>
      <c r="E93" s="52"/>
      <c r="F93" s="53"/>
    </row>
    <row r="94" spans="1:6" x14ac:dyDescent="0.3">
      <c r="A94" s="48">
        <v>43969</v>
      </c>
      <c r="B94" s="49">
        <v>34.336199999999998</v>
      </c>
      <c r="C94" s="50">
        <f t="shared" si="4"/>
        <v>43982</v>
      </c>
      <c r="D94" s="51">
        <f t="shared" si="5"/>
        <v>34.025500000000001</v>
      </c>
      <c r="E94" s="52"/>
      <c r="F94" s="53"/>
    </row>
    <row r="95" spans="1:6" x14ac:dyDescent="0.3">
      <c r="A95" s="48">
        <v>43970</v>
      </c>
      <c r="B95" s="49">
        <v>33.714100000000002</v>
      </c>
      <c r="C95" s="50">
        <f t="shared" si="4"/>
        <v>43982</v>
      </c>
      <c r="D95" s="51">
        <f t="shared" si="5"/>
        <v>34.025500000000001</v>
      </c>
      <c r="E95" s="52"/>
      <c r="F95" s="53"/>
    </row>
    <row r="96" spans="1:6" x14ac:dyDescent="0.3">
      <c r="A96" s="48">
        <v>43971</v>
      </c>
      <c r="B96" s="49">
        <v>33.917700000000004</v>
      </c>
      <c r="C96" s="50">
        <f t="shared" si="4"/>
        <v>43982</v>
      </c>
      <c r="D96" s="51">
        <f t="shared" si="5"/>
        <v>34.025500000000001</v>
      </c>
      <c r="E96" s="52"/>
      <c r="F96" s="53"/>
    </row>
    <row r="97" spans="1:6" x14ac:dyDescent="0.3">
      <c r="A97" s="48">
        <v>43972</v>
      </c>
      <c r="B97" s="49">
        <v>33.9985</v>
      </c>
      <c r="C97" s="50">
        <f t="shared" si="4"/>
        <v>43982</v>
      </c>
      <c r="D97" s="51">
        <f t="shared" si="5"/>
        <v>34.025500000000001</v>
      </c>
      <c r="E97" s="52"/>
      <c r="F97" s="53"/>
    </row>
    <row r="98" spans="1:6" x14ac:dyDescent="0.3">
      <c r="A98" s="48">
        <v>43973</v>
      </c>
      <c r="B98" s="49">
        <v>34.1753</v>
      </c>
      <c r="C98" s="50">
        <f t="shared" si="4"/>
        <v>43982</v>
      </c>
      <c r="D98" s="51">
        <f t="shared" si="5"/>
        <v>34.025500000000001</v>
      </c>
      <c r="E98" s="52"/>
      <c r="F98" s="53"/>
    </row>
    <row r="99" spans="1:6" x14ac:dyDescent="0.3">
      <c r="A99" s="48">
        <v>43977</v>
      </c>
      <c r="B99" s="49">
        <v>34.215899999999998</v>
      </c>
      <c r="C99" s="50">
        <f t="shared" si="4"/>
        <v>43982</v>
      </c>
      <c r="D99" s="51">
        <f t="shared" si="5"/>
        <v>34.025500000000001</v>
      </c>
      <c r="E99" s="52"/>
      <c r="F99" s="53"/>
    </row>
    <row r="100" spans="1:6" x14ac:dyDescent="0.3">
      <c r="A100" s="48">
        <v>43978</v>
      </c>
      <c r="B100" s="49">
        <v>34.069800000000001</v>
      </c>
      <c r="C100" s="50">
        <f t="shared" si="4"/>
        <v>43982</v>
      </c>
      <c r="D100" s="51">
        <f t="shared" si="5"/>
        <v>34.025500000000001</v>
      </c>
      <c r="E100" s="52"/>
      <c r="F100" s="53"/>
    </row>
    <row r="101" spans="1:6" x14ac:dyDescent="0.3">
      <c r="A101" s="48">
        <v>43979</v>
      </c>
      <c r="B101" s="49">
        <v>34.207500000000003</v>
      </c>
      <c r="C101" s="50">
        <f t="shared" si="4"/>
        <v>43982</v>
      </c>
      <c r="D101" s="51">
        <f t="shared" si="5"/>
        <v>34.025500000000001</v>
      </c>
      <c r="E101" s="52"/>
      <c r="F101" s="53"/>
    </row>
    <row r="102" spans="1:6" x14ac:dyDescent="0.3">
      <c r="A102" s="48">
        <v>43980</v>
      </c>
      <c r="B102" s="49">
        <v>34.025500000000001</v>
      </c>
      <c r="C102" s="50">
        <f t="shared" si="4"/>
        <v>43982</v>
      </c>
      <c r="D102" s="51">
        <f t="shared" si="5"/>
        <v>34.025500000000001</v>
      </c>
      <c r="E102" s="52"/>
      <c r="F102" s="53"/>
    </row>
    <row r="103" spans="1:6" x14ac:dyDescent="0.3">
      <c r="A103" s="48">
        <v>43983</v>
      </c>
      <c r="B103" s="49">
        <v>34.207099999999997</v>
      </c>
      <c r="C103" s="50">
        <f t="shared" si="4"/>
        <v>44012</v>
      </c>
      <c r="D103" s="51">
        <f t="shared" si="5"/>
        <v>36.039200000000001</v>
      </c>
      <c r="E103" s="52"/>
      <c r="F103" s="53"/>
    </row>
    <row r="104" spans="1:6" x14ac:dyDescent="0.3">
      <c r="A104" s="48">
        <v>43984</v>
      </c>
      <c r="B104" s="49">
        <v>34.436500000000002</v>
      </c>
      <c r="C104" s="50">
        <f t="shared" si="4"/>
        <v>44012</v>
      </c>
      <c r="D104" s="51">
        <f t="shared" si="5"/>
        <v>36.039200000000001</v>
      </c>
      <c r="E104" s="52"/>
      <c r="F104" s="53"/>
    </row>
    <row r="105" spans="1:6" x14ac:dyDescent="0.3">
      <c r="A105" s="48">
        <v>43985</v>
      </c>
      <c r="B105" s="49">
        <v>34.130400000000002</v>
      </c>
      <c r="C105" s="50">
        <f t="shared" si="4"/>
        <v>44012</v>
      </c>
      <c r="D105" s="51">
        <f t="shared" si="5"/>
        <v>36.039200000000001</v>
      </c>
      <c r="E105" s="52"/>
      <c r="F105" s="53"/>
    </row>
    <row r="106" spans="1:6" x14ac:dyDescent="0.3">
      <c r="A106" s="48">
        <v>43986</v>
      </c>
      <c r="B106" s="49">
        <v>34.1098</v>
      </c>
      <c r="C106" s="50">
        <f t="shared" si="4"/>
        <v>44012</v>
      </c>
      <c r="D106" s="51">
        <f t="shared" si="5"/>
        <v>36.039200000000001</v>
      </c>
      <c r="E106" s="52"/>
      <c r="F106" s="53"/>
    </row>
    <row r="107" spans="1:6" x14ac:dyDescent="0.3">
      <c r="A107" s="48">
        <v>43987</v>
      </c>
      <c r="B107" s="49">
        <v>34.4559</v>
      </c>
      <c r="C107" s="50">
        <f t="shared" si="4"/>
        <v>44012</v>
      </c>
      <c r="D107" s="51">
        <f t="shared" si="5"/>
        <v>36.039200000000001</v>
      </c>
      <c r="E107" s="52"/>
      <c r="F107" s="53"/>
    </row>
    <row r="108" spans="1:6" x14ac:dyDescent="0.3">
      <c r="A108" s="48">
        <v>43990</v>
      </c>
      <c r="B108" s="49">
        <v>34.541499999999999</v>
      </c>
      <c r="C108" s="50">
        <f t="shared" si="4"/>
        <v>44012</v>
      </c>
      <c r="D108" s="51">
        <f t="shared" si="5"/>
        <v>36.039200000000001</v>
      </c>
      <c r="E108" s="52"/>
      <c r="F108" s="53"/>
    </row>
    <row r="109" spans="1:6" x14ac:dyDescent="0.3">
      <c r="A109" s="48">
        <v>43991</v>
      </c>
      <c r="B109" s="49">
        <v>34.473199999999999</v>
      </c>
      <c r="C109" s="50">
        <f t="shared" si="4"/>
        <v>44012</v>
      </c>
      <c r="D109" s="51">
        <f t="shared" si="5"/>
        <v>36.039200000000001</v>
      </c>
      <c r="E109" s="52"/>
      <c r="F109" s="53"/>
    </row>
    <row r="110" spans="1:6" x14ac:dyDescent="0.3">
      <c r="A110" s="48">
        <v>43992</v>
      </c>
      <c r="B110" s="49">
        <v>34.519300000000001</v>
      </c>
      <c r="C110" s="50">
        <f t="shared" si="4"/>
        <v>44012</v>
      </c>
      <c r="D110" s="51">
        <f t="shared" si="5"/>
        <v>36.039200000000001</v>
      </c>
      <c r="E110" s="52"/>
      <c r="F110" s="53"/>
    </row>
    <row r="111" spans="1:6" x14ac:dyDescent="0.3">
      <c r="A111" s="48">
        <v>43993</v>
      </c>
      <c r="B111" s="49">
        <v>34.058999999999997</v>
      </c>
      <c r="C111" s="50">
        <f t="shared" si="4"/>
        <v>44012</v>
      </c>
      <c r="D111" s="51">
        <f t="shared" si="5"/>
        <v>36.039200000000001</v>
      </c>
      <c r="E111" s="52"/>
      <c r="F111" s="53"/>
    </row>
    <row r="112" spans="1:6" x14ac:dyDescent="0.3">
      <c r="A112" s="48">
        <v>43994</v>
      </c>
      <c r="B112" s="49">
        <v>34.018999999999998</v>
      </c>
      <c r="C112" s="50">
        <f t="shared" si="4"/>
        <v>44012</v>
      </c>
      <c r="D112" s="51">
        <f t="shared" si="5"/>
        <v>36.039200000000001</v>
      </c>
      <c r="E112" s="52"/>
      <c r="F112" s="53"/>
    </row>
    <row r="113" spans="1:6" x14ac:dyDescent="0.3">
      <c r="A113" s="48">
        <v>43997</v>
      </c>
      <c r="B113" s="49">
        <v>33.984000000000002</v>
      </c>
      <c r="C113" s="50">
        <f t="shared" si="4"/>
        <v>44012</v>
      </c>
      <c r="D113" s="51">
        <f t="shared" si="5"/>
        <v>36.039200000000001</v>
      </c>
      <c r="E113" s="52"/>
      <c r="F113" s="53"/>
    </row>
    <row r="114" spans="1:6" x14ac:dyDescent="0.3">
      <c r="A114" s="48">
        <v>43998</v>
      </c>
      <c r="B114" s="49">
        <v>34.088099999999997</v>
      </c>
      <c r="C114" s="50">
        <f t="shared" si="4"/>
        <v>44012</v>
      </c>
      <c r="D114" s="51">
        <f t="shared" si="5"/>
        <v>36.039200000000001</v>
      </c>
      <c r="E114" s="52"/>
      <c r="F114" s="53"/>
    </row>
    <row r="115" spans="1:6" x14ac:dyDescent="0.3">
      <c r="A115" s="48">
        <v>43999</v>
      </c>
      <c r="B115" s="49">
        <v>34.519599999999997</v>
      </c>
      <c r="C115" s="50">
        <f t="shared" si="4"/>
        <v>44012</v>
      </c>
      <c r="D115" s="51">
        <f t="shared" si="5"/>
        <v>36.039200000000001</v>
      </c>
      <c r="E115" s="52"/>
      <c r="F115" s="53"/>
    </row>
    <row r="116" spans="1:6" x14ac:dyDescent="0.3">
      <c r="A116" s="48">
        <v>44000</v>
      </c>
      <c r="B116" s="49">
        <v>34.950699999999998</v>
      </c>
      <c r="C116" s="50">
        <f t="shared" si="4"/>
        <v>44012</v>
      </c>
      <c r="D116" s="51">
        <f t="shared" si="5"/>
        <v>36.039200000000001</v>
      </c>
      <c r="E116" s="52"/>
      <c r="F116" s="53"/>
    </row>
    <row r="117" spans="1:6" x14ac:dyDescent="0.3">
      <c r="A117" s="48">
        <v>44001</v>
      </c>
      <c r="B117" s="49">
        <v>35.247999999999998</v>
      </c>
      <c r="C117" s="50">
        <f t="shared" si="4"/>
        <v>44012</v>
      </c>
      <c r="D117" s="51">
        <f t="shared" si="5"/>
        <v>36.039200000000001</v>
      </c>
      <c r="E117" s="52"/>
      <c r="F117" s="53"/>
    </row>
    <row r="118" spans="1:6" x14ac:dyDescent="0.3">
      <c r="A118" s="48">
        <v>44004</v>
      </c>
      <c r="B118" s="49">
        <v>36.269199999999998</v>
      </c>
      <c r="C118" s="50">
        <f t="shared" si="4"/>
        <v>44012</v>
      </c>
      <c r="D118" s="51">
        <f t="shared" si="5"/>
        <v>36.039200000000001</v>
      </c>
      <c r="E118" s="52"/>
      <c r="F118" s="53"/>
    </row>
    <row r="119" spans="1:6" x14ac:dyDescent="0.3">
      <c r="A119" s="48">
        <v>44005</v>
      </c>
      <c r="B119" s="49">
        <v>36.676000000000002</v>
      </c>
      <c r="C119" s="50">
        <f t="shared" si="4"/>
        <v>44012</v>
      </c>
      <c r="D119" s="51">
        <f t="shared" si="5"/>
        <v>36.039200000000001</v>
      </c>
      <c r="E119" s="52"/>
      <c r="F119" s="53"/>
    </row>
    <row r="120" spans="1:6" x14ac:dyDescent="0.3">
      <c r="A120" s="48">
        <v>44006</v>
      </c>
      <c r="B120" s="49">
        <v>35.999899999999997</v>
      </c>
      <c r="C120" s="50">
        <f t="shared" si="4"/>
        <v>44012</v>
      </c>
      <c r="D120" s="51">
        <f t="shared" si="5"/>
        <v>36.039200000000001</v>
      </c>
      <c r="E120" s="52"/>
      <c r="F120" s="53"/>
    </row>
    <row r="121" spans="1:6" x14ac:dyDescent="0.3">
      <c r="A121" s="48">
        <v>44007</v>
      </c>
      <c r="B121" s="49">
        <v>36.42</v>
      </c>
      <c r="C121" s="50">
        <f t="shared" si="4"/>
        <v>44012</v>
      </c>
      <c r="D121" s="51">
        <f t="shared" si="5"/>
        <v>36.039200000000001</v>
      </c>
      <c r="E121" s="52"/>
      <c r="F121" s="53"/>
    </row>
    <row r="122" spans="1:6" x14ac:dyDescent="0.3">
      <c r="A122" s="48">
        <v>44008</v>
      </c>
      <c r="B122" s="49">
        <v>36.374000000000002</v>
      </c>
      <c r="C122" s="50">
        <f t="shared" si="4"/>
        <v>44012</v>
      </c>
      <c r="D122" s="51">
        <f t="shared" si="5"/>
        <v>36.039200000000001</v>
      </c>
      <c r="E122" s="52"/>
      <c r="F122" s="53"/>
    </row>
    <row r="123" spans="1:6" x14ac:dyDescent="0.3">
      <c r="A123" s="48">
        <v>44011</v>
      </c>
      <c r="B123" s="49">
        <v>35.929699999999997</v>
      </c>
      <c r="C123" s="50">
        <f t="shared" si="4"/>
        <v>44012</v>
      </c>
      <c r="D123" s="51">
        <f t="shared" si="5"/>
        <v>36.039200000000001</v>
      </c>
      <c r="E123" s="52"/>
      <c r="F123" s="53"/>
    </row>
    <row r="124" spans="1:6" x14ac:dyDescent="0.3">
      <c r="A124" s="48">
        <v>44012</v>
      </c>
      <c r="B124" s="49">
        <v>36.039200000000001</v>
      </c>
      <c r="C124" s="50">
        <f t="shared" si="4"/>
        <v>44012</v>
      </c>
      <c r="D124" s="51">
        <f t="shared" si="5"/>
        <v>36.039200000000001</v>
      </c>
      <c r="E124" s="52"/>
      <c r="F124" s="53"/>
    </row>
    <row r="125" spans="1:6" x14ac:dyDescent="0.3">
      <c r="A125" s="48">
        <v>44013</v>
      </c>
      <c r="B125" s="49">
        <v>36.869900000000001</v>
      </c>
      <c r="C125" s="50">
        <f t="shared" si="4"/>
        <v>44043</v>
      </c>
      <c r="D125" s="51">
        <f t="shared" si="5"/>
        <v>43.588099999999997</v>
      </c>
      <c r="E125" s="52"/>
      <c r="F125" s="53"/>
    </row>
    <row r="126" spans="1:6" x14ac:dyDescent="0.3">
      <c r="A126" s="48">
        <v>44014</v>
      </c>
      <c r="B126" s="49">
        <v>36.991799999999998</v>
      </c>
      <c r="C126" s="50">
        <f t="shared" si="4"/>
        <v>44043</v>
      </c>
      <c r="D126" s="51">
        <f t="shared" si="5"/>
        <v>43.588099999999997</v>
      </c>
      <c r="E126" s="52"/>
      <c r="F126" s="53"/>
    </row>
    <row r="127" spans="1:6" x14ac:dyDescent="0.3">
      <c r="A127" s="48">
        <v>44015</v>
      </c>
      <c r="B127" s="49">
        <v>36.919800000000002</v>
      </c>
      <c r="C127" s="50">
        <f t="shared" si="4"/>
        <v>44043</v>
      </c>
      <c r="D127" s="51">
        <f t="shared" si="5"/>
        <v>43.588099999999997</v>
      </c>
      <c r="E127" s="52"/>
      <c r="F127" s="53"/>
    </row>
    <row r="128" spans="1:6" x14ac:dyDescent="0.3">
      <c r="A128" s="48">
        <v>44018</v>
      </c>
      <c r="B128" s="49">
        <v>37.022599999999997</v>
      </c>
      <c r="C128" s="50">
        <f t="shared" si="4"/>
        <v>44043</v>
      </c>
      <c r="D128" s="51">
        <f t="shared" si="5"/>
        <v>43.588099999999997</v>
      </c>
      <c r="E128" s="52"/>
      <c r="F128" s="53"/>
    </row>
    <row r="129" spans="1:6" x14ac:dyDescent="0.3">
      <c r="A129" s="48">
        <v>44019</v>
      </c>
      <c r="B129" s="49">
        <v>36.9938</v>
      </c>
      <c r="C129" s="50">
        <f t="shared" si="4"/>
        <v>44043</v>
      </c>
      <c r="D129" s="51">
        <f t="shared" si="5"/>
        <v>43.588099999999997</v>
      </c>
      <c r="E129" s="52"/>
      <c r="F129" s="53"/>
    </row>
    <row r="130" spans="1:6" x14ac:dyDescent="0.3">
      <c r="A130" s="48">
        <v>44020</v>
      </c>
      <c r="B130" s="49">
        <v>37.193800000000003</v>
      </c>
      <c r="C130" s="50">
        <f t="shared" si="4"/>
        <v>44043</v>
      </c>
      <c r="D130" s="51">
        <f t="shared" si="5"/>
        <v>43.588099999999997</v>
      </c>
      <c r="E130" s="52"/>
      <c r="F130" s="53"/>
    </row>
    <row r="131" spans="1:6" x14ac:dyDescent="0.3">
      <c r="A131" s="48">
        <v>44021</v>
      </c>
      <c r="B131" s="49">
        <v>37.641300000000001</v>
      </c>
      <c r="C131" s="50">
        <f t="shared" ref="C131:C194" si="7">EOMONTH(A131,0)</f>
        <v>44043</v>
      </c>
      <c r="D131" s="51">
        <f t="shared" ref="D131:D194" si="8">INDEX($B$3:$B$2001, MATCH($C131, $A$3:$A$2001, 1))</f>
        <v>43.588099999999997</v>
      </c>
      <c r="E131" s="52"/>
      <c r="F131" s="53"/>
    </row>
    <row r="132" spans="1:6" x14ac:dyDescent="0.3">
      <c r="A132" s="48">
        <v>44022</v>
      </c>
      <c r="B132" s="49">
        <v>37.803699999999999</v>
      </c>
      <c r="C132" s="50">
        <f t="shared" si="7"/>
        <v>44043</v>
      </c>
      <c r="D132" s="51">
        <f t="shared" si="8"/>
        <v>43.588099999999997</v>
      </c>
      <c r="E132" s="52"/>
      <c r="F132" s="53"/>
    </row>
    <row r="133" spans="1:6" x14ac:dyDescent="0.3">
      <c r="A133" s="48">
        <v>44025</v>
      </c>
      <c r="B133" s="49">
        <v>38.596600000000002</v>
      </c>
      <c r="C133" s="50">
        <f t="shared" si="7"/>
        <v>44043</v>
      </c>
      <c r="D133" s="51">
        <f t="shared" si="8"/>
        <v>43.588099999999997</v>
      </c>
      <c r="E133" s="52"/>
      <c r="F133" s="53"/>
    </row>
    <row r="134" spans="1:6" x14ac:dyDescent="0.3">
      <c r="A134" s="48">
        <v>44026</v>
      </c>
      <c r="B134" s="49">
        <v>38.388500000000001</v>
      </c>
      <c r="C134" s="50">
        <f t="shared" si="7"/>
        <v>44043</v>
      </c>
      <c r="D134" s="51">
        <f t="shared" si="8"/>
        <v>43.588099999999997</v>
      </c>
      <c r="E134" s="52"/>
      <c r="F134" s="53"/>
    </row>
    <row r="135" spans="1:6" x14ac:dyDescent="0.3">
      <c r="A135" s="48">
        <v>44027</v>
      </c>
      <c r="B135" s="49">
        <v>38.340699999999998</v>
      </c>
      <c r="C135" s="50">
        <f t="shared" si="7"/>
        <v>44043</v>
      </c>
      <c r="D135" s="51">
        <f t="shared" si="8"/>
        <v>43.588099999999997</v>
      </c>
      <c r="E135" s="52"/>
      <c r="F135" s="53"/>
    </row>
    <row r="136" spans="1:6" x14ac:dyDescent="0.3">
      <c r="A136" s="48">
        <v>44028</v>
      </c>
      <c r="B136" s="49">
        <v>38.669800000000002</v>
      </c>
      <c r="C136" s="50">
        <f t="shared" si="7"/>
        <v>44043</v>
      </c>
      <c r="D136" s="51">
        <f t="shared" si="8"/>
        <v>43.588099999999997</v>
      </c>
      <c r="E136" s="52"/>
      <c r="F136" s="53"/>
    </row>
    <row r="137" spans="1:6" x14ac:dyDescent="0.3">
      <c r="A137" s="48">
        <v>44029</v>
      </c>
      <c r="B137" s="49">
        <v>38.919800000000002</v>
      </c>
      <c r="C137" s="50">
        <f t="shared" si="7"/>
        <v>44043</v>
      </c>
      <c r="D137" s="51">
        <f t="shared" si="8"/>
        <v>43.588099999999997</v>
      </c>
      <c r="E137" s="52"/>
      <c r="F137" s="53"/>
    </row>
    <row r="138" spans="1:6" x14ac:dyDescent="0.3">
      <c r="A138" s="48">
        <v>44032</v>
      </c>
      <c r="B138" s="49">
        <v>39.1158</v>
      </c>
      <c r="C138" s="50">
        <f t="shared" si="7"/>
        <v>44043</v>
      </c>
      <c r="D138" s="51">
        <f t="shared" si="8"/>
        <v>43.588099999999997</v>
      </c>
      <c r="E138" s="52"/>
      <c r="F138" s="53"/>
    </row>
    <row r="139" spans="1:6" x14ac:dyDescent="0.3">
      <c r="A139" s="48">
        <v>44033</v>
      </c>
      <c r="B139" s="49">
        <v>39.212899999999998</v>
      </c>
      <c r="C139" s="50">
        <f t="shared" si="7"/>
        <v>44043</v>
      </c>
      <c r="D139" s="51">
        <f t="shared" si="8"/>
        <v>43.588099999999997</v>
      </c>
      <c r="E139" s="52"/>
      <c r="F139" s="53"/>
    </row>
    <row r="140" spans="1:6" x14ac:dyDescent="0.3">
      <c r="A140" s="48">
        <v>44034</v>
      </c>
      <c r="B140" s="49">
        <v>39.2333</v>
      </c>
      <c r="C140" s="50">
        <f t="shared" si="7"/>
        <v>44043</v>
      </c>
      <c r="D140" s="51">
        <f t="shared" si="8"/>
        <v>43.588099999999997</v>
      </c>
      <c r="E140" s="52"/>
      <c r="F140" s="53"/>
    </row>
    <row r="141" spans="1:6" x14ac:dyDescent="0.3">
      <c r="A141" s="48">
        <v>44035</v>
      </c>
      <c r="B141" s="49">
        <v>39.937100000000001</v>
      </c>
      <c r="C141" s="50">
        <f t="shared" si="7"/>
        <v>44043</v>
      </c>
      <c r="D141" s="51">
        <f t="shared" si="8"/>
        <v>43.588099999999997</v>
      </c>
      <c r="E141" s="52"/>
      <c r="F141" s="53"/>
    </row>
    <row r="142" spans="1:6" x14ac:dyDescent="0.3">
      <c r="A142" s="48">
        <v>44036</v>
      </c>
      <c r="B142" s="49">
        <v>40.5411</v>
      </c>
      <c r="C142" s="50">
        <f t="shared" si="7"/>
        <v>44043</v>
      </c>
      <c r="D142" s="51">
        <f t="shared" si="8"/>
        <v>43.588099999999997</v>
      </c>
      <c r="E142" s="52"/>
      <c r="F142" s="53"/>
    </row>
    <row r="143" spans="1:6" x14ac:dyDescent="0.3">
      <c r="A143" s="48">
        <v>44039</v>
      </c>
      <c r="B143" s="49">
        <v>41.305300000000003</v>
      </c>
      <c r="C143" s="50">
        <f t="shared" si="7"/>
        <v>44043</v>
      </c>
      <c r="D143" s="51">
        <f t="shared" si="8"/>
        <v>43.588099999999997</v>
      </c>
      <c r="E143" s="52"/>
      <c r="F143" s="53"/>
    </row>
    <row r="144" spans="1:6" x14ac:dyDescent="0.3">
      <c r="A144" s="48">
        <v>44040</v>
      </c>
      <c r="B144" s="49">
        <v>41.594999999999999</v>
      </c>
      <c r="C144" s="50">
        <f t="shared" si="7"/>
        <v>44043</v>
      </c>
      <c r="D144" s="51">
        <f t="shared" si="8"/>
        <v>43.588099999999997</v>
      </c>
      <c r="E144" s="52"/>
      <c r="F144" s="53"/>
    </row>
    <row r="145" spans="1:6" x14ac:dyDescent="0.3">
      <c r="A145" s="48">
        <v>44041</v>
      </c>
      <c r="B145" s="49">
        <v>42.154400000000003</v>
      </c>
      <c r="C145" s="50">
        <f t="shared" si="7"/>
        <v>44043</v>
      </c>
      <c r="D145" s="51">
        <f t="shared" si="8"/>
        <v>43.588099999999997</v>
      </c>
      <c r="E145" s="52"/>
      <c r="F145" s="53"/>
    </row>
    <row r="146" spans="1:6" x14ac:dyDescent="0.3">
      <c r="A146" s="48">
        <v>44042</v>
      </c>
      <c r="B146" s="49">
        <v>42.506999999999998</v>
      </c>
      <c r="C146" s="50">
        <f t="shared" si="7"/>
        <v>44043</v>
      </c>
      <c r="D146" s="51">
        <f t="shared" si="8"/>
        <v>43.588099999999997</v>
      </c>
      <c r="E146" s="52"/>
      <c r="F146" s="53"/>
    </row>
    <row r="147" spans="1:6" x14ac:dyDescent="0.3">
      <c r="A147" s="48">
        <v>44043</v>
      </c>
      <c r="B147" s="49">
        <v>43.588099999999997</v>
      </c>
      <c r="C147" s="50">
        <f t="shared" si="7"/>
        <v>44043</v>
      </c>
      <c r="D147" s="51">
        <f t="shared" si="8"/>
        <v>43.588099999999997</v>
      </c>
      <c r="E147" s="52"/>
      <c r="F147" s="53"/>
    </row>
    <row r="148" spans="1:6" x14ac:dyDescent="0.3">
      <c r="A148" s="48">
        <v>44046</v>
      </c>
      <c r="B148" s="49">
        <v>44.932200000000002</v>
      </c>
      <c r="C148" s="50">
        <f t="shared" si="7"/>
        <v>44074</v>
      </c>
      <c r="D148" s="51">
        <f t="shared" si="8"/>
        <v>45.274900000000002</v>
      </c>
      <c r="E148" s="52"/>
      <c r="F148" s="53"/>
    </row>
    <row r="149" spans="1:6" x14ac:dyDescent="0.3">
      <c r="A149" s="48">
        <v>44047</v>
      </c>
      <c r="B149" s="49">
        <v>44.599299999999999</v>
      </c>
      <c r="C149" s="50">
        <f t="shared" si="7"/>
        <v>44074</v>
      </c>
      <c r="D149" s="51">
        <f t="shared" si="8"/>
        <v>45.274900000000002</v>
      </c>
      <c r="E149" s="52"/>
      <c r="F149" s="53"/>
    </row>
    <row r="150" spans="1:6" x14ac:dyDescent="0.3">
      <c r="A150" s="48">
        <v>44048</v>
      </c>
      <c r="B150" s="49">
        <v>45.285200000000003</v>
      </c>
      <c r="C150" s="50">
        <f t="shared" si="7"/>
        <v>44074</v>
      </c>
      <c r="D150" s="51">
        <f t="shared" si="8"/>
        <v>45.274900000000002</v>
      </c>
      <c r="E150" s="52"/>
      <c r="F150" s="53"/>
    </row>
    <row r="151" spans="1:6" x14ac:dyDescent="0.3">
      <c r="A151" s="48">
        <v>44049</v>
      </c>
      <c r="B151" s="49">
        <v>45.445099999999996</v>
      </c>
      <c r="C151" s="50">
        <f t="shared" si="7"/>
        <v>44074</v>
      </c>
      <c r="D151" s="51">
        <f t="shared" si="8"/>
        <v>45.274900000000002</v>
      </c>
      <c r="E151" s="52"/>
      <c r="F151" s="53"/>
    </row>
    <row r="152" spans="1:6" x14ac:dyDescent="0.3">
      <c r="A152" s="48">
        <v>44050</v>
      </c>
      <c r="B152" s="49">
        <v>45.574399999999997</v>
      </c>
      <c r="C152" s="50">
        <f t="shared" si="7"/>
        <v>44074</v>
      </c>
      <c r="D152" s="51">
        <f t="shared" si="8"/>
        <v>45.274900000000002</v>
      </c>
      <c r="E152" s="52"/>
      <c r="F152" s="53"/>
    </row>
    <row r="153" spans="1:6" x14ac:dyDescent="0.3">
      <c r="A153" s="48">
        <v>44053</v>
      </c>
      <c r="B153" s="49">
        <v>46.563499999999998</v>
      </c>
      <c r="C153" s="50">
        <f t="shared" si="7"/>
        <v>44074</v>
      </c>
      <c r="D153" s="51">
        <f t="shared" si="8"/>
        <v>45.274900000000002</v>
      </c>
      <c r="E153" s="52"/>
      <c r="F153" s="53"/>
    </row>
    <row r="154" spans="1:6" x14ac:dyDescent="0.3">
      <c r="A154" s="48">
        <v>44054</v>
      </c>
      <c r="B154" s="49">
        <v>46.515799999999999</v>
      </c>
      <c r="C154" s="50">
        <f t="shared" si="7"/>
        <v>44074</v>
      </c>
      <c r="D154" s="51">
        <f t="shared" si="8"/>
        <v>45.274900000000002</v>
      </c>
      <c r="E154" s="52"/>
      <c r="F154" s="53"/>
    </row>
    <row r="155" spans="1:6" x14ac:dyDescent="0.3">
      <c r="A155" s="48">
        <v>44055</v>
      </c>
      <c r="B155" s="49">
        <v>46.286900000000003</v>
      </c>
      <c r="C155" s="50">
        <f t="shared" si="7"/>
        <v>44074</v>
      </c>
      <c r="D155" s="51">
        <f t="shared" si="8"/>
        <v>45.274900000000002</v>
      </c>
      <c r="E155" s="52"/>
      <c r="F155" s="53"/>
    </row>
    <row r="156" spans="1:6" x14ac:dyDescent="0.3">
      <c r="A156" s="48">
        <v>44056</v>
      </c>
      <c r="B156" s="49">
        <v>46.244500000000002</v>
      </c>
      <c r="C156" s="50">
        <f t="shared" si="7"/>
        <v>44074</v>
      </c>
      <c r="D156" s="51">
        <f t="shared" si="8"/>
        <v>45.274900000000002</v>
      </c>
      <c r="E156" s="52"/>
      <c r="F156" s="53"/>
    </row>
    <row r="157" spans="1:6" x14ac:dyDescent="0.3">
      <c r="A157" s="48">
        <v>44057</v>
      </c>
      <c r="B157" s="49">
        <v>46.084000000000003</v>
      </c>
      <c r="C157" s="50">
        <f t="shared" si="7"/>
        <v>44074</v>
      </c>
      <c r="D157" s="51">
        <f t="shared" si="8"/>
        <v>45.274900000000002</v>
      </c>
      <c r="E157" s="52"/>
      <c r="F157" s="53"/>
    </row>
    <row r="158" spans="1:6" x14ac:dyDescent="0.3">
      <c r="A158" s="48">
        <v>44060</v>
      </c>
      <c r="B158" s="49">
        <v>46.079700000000003</v>
      </c>
      <c r="C158" s="50">
        <f t="shared" si="7"/>
        <v>44074</v>
      </c>
      <c r="D158" s="51">
        <f t="shared" si="8"/>
        <v>45.274900000000002</v>
      </c>
      <c r="E158" s="52"/>
      <c r="F158" s="53"/>
    </row>
    <row r="159" spans="1:6" x14ac:dyDescent="0.3">
      <c r="A159" s="48">
        <v>44061</v>
      </c>
      <c r="B159" s="49">
        <v>46.236600000000003</v>
      </c>
      <c r="C159" s="50">
        <f t="shared" si="7"/>
        <v>44074</v>
      </c>
      <c r="D159" s="51">
        <f t="shared" si="8"/>
        <v>45.274900000000002</v>
      </c>
      <c r="E159" s="52"/>
      <c r="F159" s="53"/>
    </row>
    <row r="160" spans="1:6" x14ac:dyDescent="0.3">
      <c r="A160" s="48">
        <v>44062</v>
      </c>
      <c r="B160" s="49">
        <v>46.056399999999996</v>
      </c>
      <c r="C160" s="50">
        <f t="shared" si="7"/>
        <v>44074</v>
      </c>
      <c r="D160" s="51">
        <f t="shared" si="8"/>
        <v>45.274900000000002</v>
      </c>
      <c r="E160" s="52"/>
      <c r="F160" s="53"/>
    </row>
    <row r="161" spans="1:6" x14ac:dyDescent="0.3">
      <c r="A161" s="48">
        <v>44063</v>
      </c>
      <c r="B161" s="49">
        <v>45.453299999999999</v>
      </c>
      <c r="C161" s="50">
        <f t="shared" si="7"/>
        <v>44074</v>
      </c>
      <c r="D161" s="51">
        <f t="shared" si="8"/>
        <v>45.274900000000002</v>
      </c>
      <c r="E161" s="52"/>
      <c r="F161" s="53"/>
    </row>
    <row r="162" spans="1:6" x14ac:dyDescent="0.3">
      <c r="A162" s="48">
        <v>44064</v>
      </c>
      <c r="B162" s="49">
        <v>45.592100000000002</v>
      </c>
      <c r="C162" s="50">
        <f t="shared" si="7"/>
        <v>44074</v>
      </c>
      <c r="D162" s="51">
        <f t="shared" si="8"/>
        <v>45.274900000000002</v>
      </c>
      <c r="E162" s="52"/>
      <c r="F162" s="53"/>
    </row>
    <row r="163" spans="1:6" x14ac:dyDescent="0.3">
      <c r="A163" s="48">
        <v>44067</v>
      </c>
      <c r="B163" s="49">
        <v>46.090800000000002</v>
      </c>
      <c r="C163" s="50">
        <f t="shared" si="7"/>
        <v>44074</v>
      </c>
      <c r="D163" s="51">
        <f t="shared" si="8"/>
        <v>45.274900000000002</v>
      </c>
      <c r="E163" s="52"/>
      <c r="F163" s="53"/>
    </row>
    <row r="164" spans="1:6" x14ac:dyDescent="0.3">
      <c r="A164" s="48">
        <v>44068</v>
      </c>
      <c r="B164" s="49">
        <v>45.707799999999999</v>
      </c>
      <c r="C164" s="50">
        <f t="shared" si="7"/>
        <v>44074</v>
      </c>
      <c r="D164" s="51">
        <f t="shared" si="8"/>
        <v>45.274900000000002</v>
      </c>
      <c r="E164" s="52"/>
      <c r="F164" s="53"/>
    </row>
    <row r="165" spans="1:6" x14ac:dyDescent="0.3">
      <c r="A165" s="48">
        <v>44069</v>
      </c>
      <c r="B165" s="49">
        <v>45.758600000000001</v>
      </c>
      <c r="C165" s="50">
        <f t="shared" si="7"/>
        <v>44074</v>
      </c>
      <c r="D165" s="51">
        <f t="shared" si="8"/>
        <v>45.274900000000002</v>
      </c>
      <c r="E165" s="52"/>
      <c r="F165" s="53"/>
    </row>
    <row r="166" spans="1:6" x14ac:dyDescent="0.3">
      <c r="A166" s="48">
        <v>44070</v>
      </c>
      <c r="B166" s="49">
        <v>45.711100000000002</v>
      </c>
      <c r="C166" s="50">
        <f t="shared" si="7"/>
        <v>44074</v>
      </c>
      <c r="D166" s="51">
        <f t="shared" si="8"/>
        <v>45.274900000000002</v>
      </c>
      <c r="E166" s="52"/>
      <c r="F166" s="53"/>
    </row>
    <row r="167" spans="1:6" x14ac:dyDescent="0.3">
      <c r="A167" s="48">
        <v>44071</v>
      </c>
      <c r="B167" s="49">
        <v>45.555500000000002</v>
      </c>
      <c r="C167" s="50">
        <f t="shared" si="7"/>
        <v>44074</v>
      </c>
      <c r="D167" s="51">
        <f t="shared" si="8"/>
        <v>45.274900000000002</v>
      </c>
      <c r="E167" s="52"/>
      <c r="F167" s="53"/>
    </row>
    <row r="168" spans="1:6" x14ac:dyDescent="0.3">
      <c r="A168" s="48">
        <v>44074</v>
      </c>
      <c r="B168" s="49">
        <v>45.274900000000002</v>
      </c>
      <c r="C168" s="50">
        <f t="shared" si="7"/>
        <v>44074</v>
      </c>
      <c r="D168" s="51">
        <f t="shared" si="8"/>
        <v>45.274900000000002</v>
      </c>
      <c r="E168" s="52"/>
      <c r="F168" s="53"/>
    </row>
    <row r="169" spans="1:6" x14ac:dyDescent="0.3">
      <c r="A169" s="48">
        <v>44075</v>
      </c>
      <c r="B169" s="49">
        <v>45.418900000000001</v>
      </c>
      <c r="C169" s="50">
        <f t="shared" si="7"/>
        <v>44104</v>
      </c>
      <c r="D169" s="51">
        <f t="shared" si="8"/>
        <v>46.104900000000001</v>
      </c>
      <c r="E169" s="52"/>
      <c r="F169" s="53"/>
    </row>
    <row r="170" spans="1:6" x14ac:dyDescent="0.3">
      <c r="A170" s="48">
        <v>44076</v>
      </c>
      <c r="B170" s="49">
        <v>45.321800000000003</v>
      </c>
      <c r="C170" s="50">
        <f t="shared" si="7"/>
        <v>44104</v>
      </c>
      <c r="D170" s="51">
        <f t="shared" si="8"/>
        <v>46.104900000000001</v>
      </c>
      <c r="E170" s="52"/>
      <c r="F170" s="53"/>
    </row>
    <row r="171" spans="1:6" x14ac:dyDescent="0.3">
      <c r="A171" s="48">
        <v>44077</v>
      </c>
      <c r="B171" s="49">
        <v>44.984499999999997</v>
      </c>
      <c r="C171" s="50">
        <f t="shared" si="7"/>
        <v>44104</v>
      </c>
      <c r="D171" s="51">
        <f t="shared" si="8"/>
        <v>46.104900000000001</v>
      </c>
      <c r="E171" s="52"/>
      <c r="F171" s="53"/>
    </row>
    <row r="172" spans="1:6" x14ac:dyDescent="0.3">
      <c r="A172" s="48">
        <v>44078</v>
      </c>
      <c r="B172" s="49">
        <v>44.911999999999999</v>
      </c>
      <c r="C172" s="50">
        <f t="shared" si="7"/>
        <v>44104</v>
      </c>
      <c r="D172" s="51">
        <f t="shared" si="8"/>
        <v>46.104900000000001</v>
      </c>
      <c r="E172" s="52"/>
      <c r="F172" s="53"/>
    </row>
    <row r="173" spans="1:6" x14ac:dyDescent="0.3">
      <c r="A173" s="48">
        <v>44081</v>
      </c>
      <c r="B173" s="49">
        <v>45.114100000000001</v>
      </c>
      <c r="C173" s="50">
        <f t="shared" si="7"/>
        <v>44104</v>
      </c>
      <c r="D173" s="51">
        <f t="shared" si="8"/>
        <v>46.104900000000001</v>
      </c>
      <c r="E173" s="52"/>
      <c r="F173" s="53"/>
    </row>
    <row r="174" spans="1:6" x14ac:dyDescent="0.3">
      <c r="A174" s="48">
        <v>44082</v>
      </c>
      <c r="B174" s="49">
        <v>45.104599999999998</v>
      </c>
      <c r="C174" s="50">
        <f t="shared" si="7"/>
        <v>44104</v>
      </c>
      <c r="D174" s="51">
        <f t="shared" si="8"/>
        <v>46.104900000000001</v>
      </c>
      <c r="E174" s="52"/>
      <c r="F174" s="53"/>
    </row>
    <row r="175" spans="1:6" x14ac:dyDescent="0.3">
      <c r="A175" s="48">
        <v>44083</v>
      </c>
      <c r="B175" s="49">
        <v>44.981400000000001</v>
      </c>
      <c r="C175" s="50">
        <f t="shared" si="7"/>
        <v>44104</v>
      </c>
      <c r="D175" s="51">
        <f t="shared" si="8"/>
        <v>46.104900000000001</v>
      </c>
      <c r="E175" s="52"/>
      <c r="F175" s="53"/>
    </row>
    <row r="176" spans="1:6" x14ac:dyDescent="0.3">
      <c r="A176" s="48">
        <v>44084</v>
      </c>
      <c r="B176" s="49">
        <v>45.355899999999998</v>
      </c>
      <c r="C176" s="50">
        <f t="shared" si="7"/>
        <v>44104</v>
      </c>
      <c r="D176" s="51">
        <f t="shared" si="8"/>
        <v>46.104900000000001</v>
      </c>
      <c r="E176" s="52"/>
      <c r="F176" s="53"/>
    </row>
    <row r="177" spans="1:6" x14ac:dyDescent="0.3">
      <c r="A177" s="48">
        <v>44085</v>
      </c>
      <c r="B177" s="49">
        <v>45.578499999999998</v>
      </c>
      <c r="C177" s="50">
        <f t="shared" si="7"/>
        <v>44104</v>
      </c>
      <c r="D177" s="51">
        <f t="shared" si="8"/>
        <v>46.104900000000001</v>
      </c>
      <c r="E177" s="52"/>
      <c r="F177" s="53"/>
    </row>
    <row r="178" spans="1:6" x14ac:dyDescent="0.3">
      <c r="A178" s="48">
        <v>44088</v>
      </c>
      <c r="B178" s="49">
        <v>45.918599999999998</v>
      </c>
      <c r="C178" s="50">
        <f t="shared" si="7"/>
        <v>44104</v>
      </c>
      <c r="D178" s="51">
        <f t="shared" si="8"/>
        <v>46.104900000000001</v>
      </c>
      <c r="E178" s="52"/>
      <c r="F178" s="53"/>
    </row>
    <row r="179" spans="1:6" x14ac:dyDescent="0.3">
      <c r="A179" s="48">
        <v>44089</v>
      </c>
      <c r="B179" s="49">
        <v>46.229599999999998</v>
      </c>
      <c r="C179" s="50">
        <f t="shared" si="7"/>
        <v>44104</v>
      </c>
      <c r="D179" s="51">
        <f t="shared" si="8"/>
        <v>46.104900000000001</v>
      </c>
      <c r="E179" s="52"/>
      <c r="F179" s="53"/>
    </row>
    <row r="180" spans="1:6" x14ac:dyDescent="0.3">
      <c r="A180" s="48">
        <v>44090</v>
      </c>
      <c r="B180" s="49">
        <v>46.43</v>
      </c>
      <c r="C180" s="50">
        <f t="shared" si="7"/>
        <v>44104</v>
      </c>
      <c r="D180" s="51">
        <f t="shared" si="8"/>
        <v>46.104900000000001</v>
      </c>
      <c r="E180" s="52"/>
      <c r="F180" s="53"/>
    </row>
    <row r="181" spans="1:6" x14ac:dyDescent="0.3">
      <c r="A181" s="48">
        <v>44091</v>
      </c>
      <c r="B181" s="49">
        <v>46.664900000000003</v>
      </c>
      <c r="C181" s="50">
        <f t="shared" si="7"/>
        <v>44104</v>
      </c>
      <c r="D181" s="51">
        <f t="shared" si="8"/>
        <v>46.104900000000001</v>
      </c>
      <c r="E181" s="52"/>
      <c r="F181" s="53"/>
    </row>
    <row r="182" spans="1:6" x14ac:dyDescent="0.3">
      <c r="A182" s="48">
        <v>44092</v>
      </c>
      <c r="B182" s="49">
        <v>46.847700000000003</v>
      </c>
      <c r="C182" s="50">
        <f t="shared" si="7"/>
        <v>44104</v>
      </c>
      <c r="D182" s="51">
        <f t="shared" si="8"/>
        <v>46.104900000000001</v>
      </c>
      <c r="E182" s="52"/>
      <c r="F182" s="53"/>
    </row>
    <row r="183" spans="1:6" x14ac:dyDescent="0.3">
      <c r="A183" s="48">
        <v>44095</v>
      </c>
      <c r="B183" s="49">
        <v>45.4191</v>
      </c>
      <c r="C183" s="50">
        <f t="shared" si="7"/>
        <v>44104</v>
      </c>
      <c r="D183" s="51">
        <f t="shared" si="8"/>
        <v>46.104900000000001</v>
      </c>
      <c r="E183" s="52"/>
      <c r="F183" s="53"/>
    </row>
    <row r="184" spans="1:6" x14ac:dyDescent="0.3">
      <c r="A184" s="48">
        <v>44096</v>
      </c>
      <c r="B184" s="49">
        <v>45.069699999999997</v>
      </c>
      <c r="C184" s="50">
        <f t="shared" si="7"/>
        <v>44104</v>
      </c>
      <c r="D184" s="51">
        <f t="shared" si="8"/>
        <v>46.104900000000001</v>
      </c>
      <c r="E184" s="52"/>
      <c r="F184" s="53"/>
    </row>
    <row r="185" spans="1:6" x14ac:dyDescent="0.3">
      <c r="A185" s="48">
        <v>44097</v>
      </c>
      <c r="B185" s="49">
        <v>45.086300000000001</v>
      </c>
      <c r="C185" s="50">
        <f t="shared" si="7"/>
        <v>44104</v>
      </c>
      <c r="D185" s="51">
        <f t="shared" si="8"/>
        <v>46.104900000000001</v>
      </c>
      <c r="E185" s="52"/>
      <c r="F185" s="53"/>
    </row>
    <row r="186" spans="1:6" x14ac:dyDescent="0.3">
      <c r="A186" s="48">
        <v>44098</v>
      </c>
      <c r="B186" s="49">
        <v>44.609699999999997</v>
      </c>
      <c r="C186" s="50">
        <f t="shared" si="7"/>
        <v>44104</v>
      </c>
      <c r="D186" s="51">
        <f t="shared" si="8"/>
        <v>46.104900000000001</v>
      </c>
      <c r="E186" s="52"/>
      <c r="F186" s="53"/>
    </row>
    <row r="187" spans="1:6" x14ac:dyDescent="0.3">
      <c r="A187" s="48">
        <v>44099</v>
      </c>
      <c r="B187" s="49">
        <v>45.170200000000001</v>
      </c>
      <c r="C187" s="50">
        <f t="shared" si="7"/>
        <v>44104</v>
      </c>
      <c r="D187" s="51">
        <f t="shared" si="8"/>
        <v>46.104900000000001</v>
      </c>
      <c r="E187" s="52"/>
      <c r="F187" s="53"/>
    </row>
    <row r="188" spans="1:6" x14ac:dyDescent="0.3">
      <c r="A188" s="48">
        <v>44102</v>
      </c>
      <c r="B188" s="49">
        <v>45.650399999999998</v>
      </c>
      <c r="C188" s="50">
        <f t="shared" si="7"/>
        <v>44104</v>
      </c>
      <c r="D188" s="51">
        <f t="shared" si="8"/>
        <v>46.104900000000001</v>
      </c>
      <c r="E188" s="52"/>
      <c r="F188" s="53"/>
    </row>
    <row r="189" spans="1:6" x14ac:dyDescent="0.3">
      <c r="A189" s="48">
        <v>44103</v>
      </c>
      <c r="B189" s="49">
        <v>45.956200000000003</v>
      </c>
      <c r="C189" s="50">
        <f t="shared" si="7"/>
        <v>44104</v>
      </c>
      <c r="D189" s="51">
        <f t="shared" si="8"/>
        <v>46.104900000000001</v>
      </c>
      <c r="E189" s="52"/>
      <c r="F189" s="53"/>
    </row>
    <row r="190" spans="1:6" x14ac:dyDescent="0.3">
      <c r="A190" s="48">
        <v>44104</v>
      </c>
      <c r="B190" s="49">
        <v>46.104900000000001</v>
      </c>
      <c r="C190" s="50">
        <f t="shared" si="7"/>
        <v>44104</v>
      </c>
      <c r="D190" s="51">
        <f t="shared" si="8"/>
        <v>46.104900000000001</v>
      </c>
      <c r="E190" s="52"/>
      <c r="F190" s="53"/>
    </row>
    <row r="191" spans="1:6" x14ac:dyDescent="0.3">
      <c r="A191" s="48">
        <v>44105</v>
      </c>
      <c r="B191" s="49">
        <v>46.216900000000003</v>
      </c>
      <c r="C191" s="50">
        <f t="shared" si="7"/>
        <v>44135</v>
      </c>
      <c r="D191" s="51">
        <f t="shared" si="8"/>
        <v>47.628300000000003</v>
      </c>
      <c r="E191" s="52"/>
      <c r="F191" s="53"/>
    </row>
    <row r="192" spans="1:6" x14ac:dyDescent="0.3">
      <c r="A192" s="48">
        <v>44109</v>
      </c>
      <c r="B192" s="49">
        <v>46.390500000000003</v>
      </c>
      <c r="C192" s="50">
        <f t="shared" si="7"/>
        <v>44135</v>
      </c>
      <c r="D192" s="51">
        <f t="shared" si="8"/>
        <v>47.628300000000003</v>
      </c>
      <c r="E192" s="52"/>
      <c r="F192" s="53"/>
    </row>
    <row r="193" spans="1:6" x14ac:dyDescent="0.3">
      <c r="A193" s="48">
        <v>44110</v>
      </c>
      <c r="B193" s="49">
        <v>46.652299999999997</v>
      </c>
      <c r="C193" s="50">
        <f t="shared" si="7"/>
        <v>44135</v>
      </c>
      <c r="D193" s="51">
        <f t="shared" si="8"/>
        <v>47.628300000000003</v>
      </c>
      <c r="E193" s="52"/>
      <c r="F193" s="53"/>
    </row>
    <row r="194" spans="1:6" x14ac:dyDescent="0.3">
      <c r="A194" s="48">
        <v>44111</v>
      </c>
      <c r="B194" s="49">
        <v>46.2699</v>
      </c>
      <c r="C194" s="50">
        <f t="shared" si="7"/>
        <v>44135</v>
      </c>
      <c r="D194" s="51">
        <f t="shared" si="8"/>
        <v>47.628300000000003</v>
      </c>
      <c r="E194" s="52"/>
      <c r="F194" s="53"/>
    </row>
    <row r="195" spans="1:6" x14ac:dyDescent="0.3">
      <c r="A195" s="48">
        <v>44112</v>
      </c>
      <c r="B195" s="49">
        <v>46.675899999999999</v>
      </c>
      <c r="C195" s="50">
        <f t="shared" ref="C195:C258" si="9">EOMONTH(A195,0)</f>
        <v>44135</v>
      </c>
      <c r="D195" s="51">
        <f t="shared" ref="D195:D258" si="10">INDEX($B$3:$B$2001, MATCH($C195, $A$3:$A$2001, 1))</f>
        <v>47.628300000000003</v>
      </c>
      <c r="E195" s="52"/>
      <c r="F195" s="53"/>
    </row>
    <row r="196" spans="1:6" x14ac:dyDescent="0.3">
      <c r="A196" s="48">
        <v>44113</v>
      </c>
      <c r="B196" s="49">
        <v>46.741799999999998</v>
      </c>
      <c r="C196" s="50">
        <f t="shared" si="9"/>
        <v>44135</v>
      </c>
      <c r="D196" s="51">
        <f t="shared" si="10"/>
        <v>47.628300000000003</v>
      </c>
      <c r="E196" s="52"/>
      <c r="F196" s="53"/>
    </row>
    <row r="197" spans="1:6" x14ac:dyDescent="0.3">
      <c r="A197" s="48">
        <v>44116</v>
      </c>
      <c r="B197" s="49">
        <v>46.572400000000002</v>
      </c>
      <c r="C197" s="50">
        <f t="shared" si="9"/>
        <v>44135</v>
      </c>
      <c r="D197" s="51">
        <f t="shared" si="10"/>
        <v>47.628300000000003</v>
      </c>
      <c r="E197" s="52"/>
      <c r="F197" s="53"/>
    </row>
    <row r="198" spans="1:6" x14ac:dyDescent="0.3">
      <c r="A198" s="48">
        <v>44117</v>
      </c>
      <c r="B198" s="49">
        <v>46.497900000000001</v>
      </c>
      <c r="C198" s="50">
        <f t="shared" si="9"/>
        <v>44135</v>
      </c>
      <c r="D198" s="51">
        <f t="shared" si="10"/>
        <v>47.628300000000003</v>
      </c>
      <c r="E198" s="52"/>
      <c r="F198" s="53"/>
    </row>
    <row r="199" spans="1:6" x14ac:dyDescent="0.3">
      <c r="A199" s="48">
        <v>44118</v>
      </c>
      <c r="B199" s="49">
        <v>46.592500000000001</v>
      </c>
      <c r="C199" s="50">
        <f t="shared" si="9"/>
        <v>44135</v>
      </c>
      <c r="D199" s="51">
        <f t="shared" si="10"/>
        <v>47.628300000000003</v>
      </c>
      <c r="E199" s="52"/>
      <c r="F199" s="53"/>
    </row>
    <row r="200" spans="1:6" x14ac:dyDescent="0.3">
      <c r="A200" s="48">
        <v>44119</v>
      </c>
      <c r="B200" s="49">
        <v>46.176600000000001</v>
      </c>
      <c r="C200" s="50">
        <f t="shared" si="9"/>
        <v>44135</v>
      </c>
      <c r="D200" s="51">
        <f t="shared" si="10"/>
        <v>47.628300000000003</v>
      </c>
      <c r="E200" s="52"/>
      <c r="F200" s="53"/>
    </row>
    <row r="201" spans="1:6" x14ac:dyDescent="0.3">
      <c r="A201" s="48">
        <v>44120</v>
      </c>
      <c r="B201" s="49">
        <v>46.398000000000003</v>
      </c>
      <c r="C201" s="50">
        <f t="shared" si="9"/>
        <v>44135</v>
      </c>
      <c r="D201" s="51">
        <f t="shared" si="10"/>
        <v>47.628300000000003</v>
      </c>
      <c r="E201" s="52"/>
      <c r="F201" s="53"/>
    </row>
    <row r="202" spans="1:6" x14ac:dyDescent="0.3">
      <c r="A202" s="48">
        <v>44123</v>
      </c>
      <c r="B202" s="49">
        <v>47.176400000000001</v>
      </c>
      <c r="C202" s="50">
        <f t="shared" si="9"/>
        <v>44135</v>
      </c>
      <c r="D202" s="51">
        <f t="shared" si="10"/>
        <v>47.628300000000003</v>
      </c>
      <c r="E202" s="52"/>
      <c r="F202" s="53"/>
    </row>
    <row r="203" spans="1:6" x14ac:dyDescent="0.3">
      <c r="A203" s="48">
        <v>44124</v>
      </c>
      <c r="B203" s="49">
        <v>46.946800000000003</v>
      </c>
      <c r="C203" s="50">
        <f t="shared" si="9"/>
        <v>44135</v>
      </c>
      <c r="D203" s="51">
        <f t="shared" si="10"/>
        <v>47.628300000000003</v>
      </c>
      <c r="E203" s="52"/>
      <c r="F203" s="53"/>
    </row>
    <row r="204" spans="1:6" x14ac:dyDescent="0.3">
      <c r="A204" s="48">
        <v>44125</v>
      </c>
      <c r="B204" s="49">
        <v>47.003100000000003</v>
      </c>
      <c r="C204" s="50">
        <f t="shared" si="9"/>
        <v>44135</v>
      </c>
      <c r="D204" s="51">
        <f t="shared" si="10"/>
        <v>47.628300000000003</v>
      </c>
      <c r="E204" s="52"/>
      <c r="F204" s="53"/>
    </row>
    <row r="205" spans="1:6" x14ac:dyDescent="0.3">
      <c r="A205" s="48">
        <v>44126</v>
      </c>
      <c r="B205" s="49">
        <v>46.994399999999999</v>
      </c>
      <c r="C205" s="50">
        <f t="shared" si="9"/>
        <v>44135</v>
      </c>
      <c r="D205" s="51">
        <f t="shared" si="10"/>
        <v>47.628300000000003</v>
      </c>
      <c r="E205" s="52"/>
      <c r="F205" s="53"/>
    </row>
    <row r="206" spans="1:6" x14ac:dyDescent="0.3">
      <c r="A206" s="48">
        <v>44127</v>
      </c>
      <c r="B206" s="49">
        <v>47.264499999999998</v>
      </c>
      <c r="C206" s="50">
        <f t="shared" si="9"/>
        <v>44135</v>
      </c>
      <c r="D206" s="51">
        <f t="shared" si="10"/>
        <v>47.628300000000003</v>
      </c>
      <c r="E206" s="52"/>
      <c r="F206" s="53"/>
    </row>
    <row r="207" spans="1:6" x14ac:dyDescent="0.3">
      <c r="A207" s="48">
        <v>44130</v>
      </c>
      <c r="B207" s="49">
        <v>47.311</v>
      </c>
      <c r="C207" s="50">
        <f t="shared" si="9"/>
        <v>44135</v>
      </c>
      <c r="D207" s="51">
        <f t="shared" si="10"/>
        <v>47.628300000000003</v>
      </c>
      <c r="E207" s="52"/>
      <c r="F207" s="53"/>
    </row>
    <row r="208" spans="1:6" x14ac:dyDescent="0.3">
      <c r="A208" s="48">
        <v>44131</v>
      </c>
      <c r="B208" s="49">
        <v>47.4161</v>
      </c>
      <c r="C208" s="50">
        <f t="shared" si="9"/>
        <v>44135</v>
      </c>
      <c r="D208" s="51">
        <f t="shared" si="10"/>
        <v>47.628300000000003</v>
      </c>
      <c r="E208" s="52"/>
      <c r="F208" s="53"/>
    </row>
    <row r="209" spans="1:6" x14ac:dyDescent="0.3">
      <c r="A209" s="48">
        <v>44132</v>
      </c>
      <c r="B209" s="49">
        <v>47.601799999999997</v>
      </c>
      <c r="C209" s="50">
        <f t="shared" si="9"/>
        <v>44135</v>
      </c>
      <c r="D209" s="51">
        <f t="shared" si="10"/>
        <v>47.628300000000003</v>
      </c>
      <c r="E209" s="52"/>
      <c r="F209" s="53"/>
    </row>
    <row r="210" spans="1:6" x14ac:dyDescent="0.3">
      <c r="A210" s="48">
        <v>44133</v>
      </c>
      <c r="B210" s="49">
        <v>47.741</v>
      </c>
      <c r="C210" s="50">
        <f t="shared" si="9"/>
        <v>44135</v>
      </c>
      <c r="D210" s="51">
        <f t="shared" si="10"/>
        <v>47.628300000000003</v>
      </c>
      <c r="E210" s="52"/>
      <c r="F210" s="53"/>
    </row>
    <row r="211" spans="1:6" x14ac:dyDescent="0.3">
      <c r="A211" s="48">
        <v>44134</v>
      </c>
      <c r="B211" s="49">
        <v>47.628300000000003</v>
      </c>
      <c r="C211" s="50">
        <f t="shared" si="9"/>
        <v>44135</v>
      </c>
      <c r="D211" s="51">
        <f t="shared" si="10"/>
        <v>47.628300000000003</v>
      </c>
      <c r="E211" s="52"/>
      <c r="F211" s="53"/>
    </row>
    <row r="212" spans="1:6" x14ac:dyDescent="0.3">
      <c r="A212" s="48">
        <v>44137</v>
      </c>
      <c r="B212" s="49">
        <v>47.689100000000003</v>
      </c>
      <c r="C212" s="50">
        <f t="shared" si="9"/>
        <v>44165</v>
      </c>
      <c r="D212" s="51">
        <f t="shared" si="10"/>
        <v>48.426900000000003</v>
      </c>
      <c r="E212" s="52"/>
      <c r="F212" s="53"/>
    </row>
    <row r="213" spans="1:6" x14ac:dyDescent="0.3">
      <c r="A213" s="48">
        <v>44138</v>
      </c>
      <c r="B213" s="49">
        <v>47.396299999999997</v>
      </c>
      <c r="C213" s="50">
        <f t="shared" si="9"/>
        <v>44165</v>
      </c>
      <c r="D213" s="51">
        <f t="shared" si="10"/>
        <v>48.426900000000003</v>
      </c>
      <c r="E213" s="52"/>
      <c r="F213" s="53"/>
    </row>
    <row r="214" spans="1:6" x14ac:dyDescent="0.3">
      <c r="A214" s="48">
        <v>44139</v>
      </c>
      <c r="B214" s="49">
        <v>47.440399999999997</v>
      </c>
      <c r="C214" s="50">
        <f t="shared" si="9"/>
        <v>44165</v>
      </c>
      <c r="D214" s="51">
        <f t="shared" si="10"/>
        <v>48.426900000000003</v>
      </c>
      <c r="E214" s="52"/>
      <c r="F214" s="53"/>
    </row>
    <row r="215" spans="1:6" x14ac:dyDescent="0.3">
      <c r="A215" s="48">
        <v>44140</v>
      </c>
      <c r="B215" s="49">
        <v>47.583100000000002</v>
      </c>
      <c r="C215" s="50">
        <f t="shared" si="9"/>
        <v>44165</v>
      </c>
      <c r="D215" s="51">
        <f t="shared" si="10"/>
        <v>48.426900000000003</v>
      </c>
      <c r="E215" s="52"/>
      <c r="F215" s="53"/>
    </row>
    <row r="216" spans="1:6" x14ac:dyDescent="0.3">
      <c r="A216" s="48">
        <v>44141</v>
      </c>
      <c r="B216" s="49">
        <v>47.828299999999999</v>
      </c>
      <c r="C216" s="50">
        <f t="shared" si="9"/>
        <v>44165</v>
      </c>
      <c r="D216" s="51">
        <f t="shared" si="10"/>
        <v>48.426900000000003</v>
      </c>
      <c r="E216" s="52"/>
      <c r="F216" s="53"/>
    </row>
    <row r="217" spans="1:6" x14ac:dyDescent="0.3">
      <c r="A217" s="48">
        <v>44144</v>
      </c>
      <c r="B217" s="49">
        <v>48.0779</v>
      </c>
      <c r="C217" s="50">
        <f t="shared" si="9"/>
        <v>44165</v>
      </c>
      <c r="D217" s="51">
        <f t="shared" si="10"/>
        <v>48.426900000000003</v>
      </c>
      <c r="E217" s="52"/>
      <c r="F217" s="53"/>
    </row>
    <row r="218" spans="1:6" x14ac:dyDescent="0.3">
      <c r="A218" s="48">
        <v>44145</v>
      </c>
      <c r="B218" s="49">
        <v>47.5047</v>
      </c>
      <c r="C218" s="50">
        <f t="shared" si="9"/>
        <v>44165</v>
      </c>
      <c r="D218" s="51">
        <f t="shared" si="10"/>
        <v>48.426900000000003</v>
      </c>
      <c r="E218" s="52"/>
      <c r="F218" s="53"/>
    </row>
    <row r="219" spans="1:6" x14ac:dyDescent="0.3">
      <c r="A219" s="48">
        <v>44146</v>
      </c>
      <c r="B219" s="49">
        <v>47.391500000000001</v>
      </c>
      <c r="C219" s="50">
        <f t="shared" si="9"/>
        <v>44165</v>
      </c>
      <c r="D219" s="51">
        <f t="shared" si="10"/>
        <v>48.426900000000003</v>
      </c>
      <c r="E219" s="52"/>
      <c r="F219" s="53"/>
    </row>
    <row r="220" spans="1:6" x14ac:dyDescent="0.3">
      <c r="A220" s="48">
        <v>44147</v>
      </c>
      <c r="B220" s="49">
        <v>47.796300000000002</v>
      </c>
      <c r="C220" s="50">
        <f t="shared" si="9"/>
        <v>44165</v>
      </c>
      <c r="D220" s="51">
        <f t="shared" si="10"/>
        <v>48.426900000000003</v>
      </c>
      <c r="E220" s="52"/>
      <c r="F220" s="53"/>
    </row>
    <row r="221" spans="1:6" x14ac:dyDescent="0.3">
      <c r="A221" s="48">
        <v>44148</v>
      </c>
      <c r="B221" s="49">
        <v>47.970999999999997</v>
      </c>
      <c r="C221" s="50">
        <f t="shared" si="9"/>
        <v>44165</v>
      </c>
      <c r="D221" s="51">
        <f t="shared" si="10"/>
        <v>48.426900000000003</v>
      </c>
      <c r="E221" s="52"/>
      <c r="F221" s="53"/>
    </row>
    <row r="222" spans="1:6" x14ac:dyDescent="0.3">
      <c r="A222" s="48">
        <v>44152</v>
      </c>
      <c r="B222" s="49">
        <v>48.183900000000001</v>
      </c>
      <c r="C222" s="50">
        <f t="shared" si="9"/>
        <v>44165</v>
      </c>
      <c r="D222" s="51">
        <f t="shared" si="10"/>
        <v>48.426900000000003</v>
      </c>
      <c r="E222" s="52"/>
      <c r="F222" s="53"/>
    </row>
    <row r="223" spans="1:6" x14ac:dyDescent="0.3">
      <c r="A223" s="48">
        <v>44153</v>
      </c>
      <c r="B223" s="49">
        <v>48.1068</v>
      </c>
      <c r="C223" s="50">
        <f t="shared" si="9"/>
        <v>44165</v>
      </c>
      <c r="D223" s="51">
        <f t="shared" si="10"/>
        <v>48.426900000000003</v>
      </c>
      <c r="E223" s="52"/>
      <c r="F223" s="53"/>
    </row>
    <row r="224" spans="1:6" x14ac:dyDescent="0.3">
      <c r="A224" s="48">
        <v>44154</v>
      </c>
      <c r="B224" s="49">
        <v>48.2682</v>
      </c>
      <c r="C224" s="50">
        <f t="shared" si="9"/>
        <v>44165</v>
      </c>
      <c r="D224" s="51">
        <f t="shared" si="10"/>
        <v>48.426900000000003</v>
      </c>
      <c r="E224" s="52"/>
      <c r="F224" s="53"/>
    </row>
    <row r="225" spans="1:6" x14ac:dyDescent="0.3">
      <c r="A225" s="48">
        <v>44155</v>
      </c>
      <c r="B225" s="49">
        <v>48.3157</v>
      </c>
      <c r="C225" s="50">
        <f t="shared" si="9"/>
        <v>44165</v>
      </c>
      <c r="D225" s="51">
        <f t="shared" si="10"/>
        <v>48.426900000000003</v>
      </c>
      <c r="E225" s="52"/>
      <c r="F225" s="53"/>
    </row>
    <row r="226" spans="1:6" x14ac:dyDescent="0.3">
      <c r="A226" s="48">
        <v>44158</v>
      </c>
      <c r="B226" s="49">
        <v>48.658099999999997</v>
      </c>
      <c r="C226" s="50">
        <f t="shared" si="9"/>
        <v>44165</v>
      </c>
      <c r="D226" s="51">
        <f t="shared" si="10"/>
        <v>48.426900000000003</v>
      </c>
      <c r="E226" s="52"/>
      <c r="F226" s="53"/>
    </row>
    <row r="227" spans="1:6" x14ac:dyDescent="0.3">
      <c r="A227" s="48">
        <v>44159</v>
      </c>
      <c r="B227" s="49">
        <v>48.460999999999999</v>
      </c>
      <c r="C227" s="50">
        <f t="shared" si="9"/>
        <v>44165</v>
      </c>
      <c r="D227" s="51">
        <f t="shared" si="10"/>
        <v>48.426900000000003</v>
      </c>
      <c r="E227" s="52"/>
      <c r="F227" s="53"/>
    </row>
    <row r="228" spans="1:6" x14ac:dyDescent="0.3">
      <c r="A228" s="48">
        <v>44160</v>
      </c>
      <c r="B228" s="49">
        <v>48.2301</v>
      </c>
      <c r="C228" s="50">
        <f t="shared" si="9"/>
        <v>44165</v>
      </c>
      <c r="D228" s="51">
        <f t="shared" si="10"/>
        <v>48.426900000000003</v>
      </c>
      <c r="E228" s="52"/>
      <c r="F228" s="53"/>
    </row>
    <row r="229" spans="1:6" x14ac:dyDescent="0.3">
      <c r="A229" s="48">
        <v>44161</v>
      </c>
      <c r="B229" s="49">
        <v>48.515799999999999</v>
      </c>
      <c r="C229" s="50">
        <f t="shared" si="9"/>
        <v>44165</v>
      </c>
      <c r="D229" s="51">
        <f t="shared" si="10"/>
        <v>48.426900000000003</v>
      </c>
      <c r="E229" s="52"/>
      <c r="F229" s="53"/>
    </row>
    <row r="230" spans="1:6" x14ac:dyDescent="0.3">
      <c r="A230" s="48">
        <v>44162</v>
      </c>
      <c r="B230" s="49">
        <v>48.426900000000003</v>
      </c>
      <c r="C230" s="50">
        <f t="shared" si="9"/>
        <v>44165</v>
      </c>
      <c r="D230" s="51">
        <f t="shared" si="10"/>
        <v>48.426900000000003</v>
      </c>
      <c r="E230" s="52"/>
      <c r="F230" s="53"/>
    </row>
    <row r="231" spans="1:6" x14ac:dyDescent="0.3">
      <c r="A231" s="48">
        <v>44166</v>
      </c>
      <c r="B231" s="49">
        <v>48.7072</v>
      </c>
      <c r="C231" s="50">
        <f t="shared" si="9"/>
        <v>44196</v>
      </c>
      <c r="D231" s="51">
        <f t="shared" si="10"/>
        <v>50.5929</v>
      </c>
      <c r="E231" s="52"/>
      <c r="F231" s="53"/>
    </row>
    <row r="232" spans="1:6" x14ac:dyDescent="0.3">
      <c r="A232" s="48">
        <v>44167</v>
      </c>
      <c r="B232" s="49">
        <v>48.849899999999998</v>
      </c>
      <c r="C232" s="50">
        <f t="shared" si="9"/>
        <v>44196</v>
      </c>
      <c r="D232" s="51">
        <f t="shared" si="10"/>
        <v>50.5929</v>
      </c>
      <c r="E232" s="52"/>
      <c r="F232" s="53"/>
    </row>
    <row r="233" spans="1:6" x14ac:dyDescent="0.3">
      <c r="A233" s="48">
        <v>44168</v>
      </c>
      <c r="B233" s="49">
        <v>49.744700000000002</v>
      </c>
      <c r="C233" s="50">
        <f t="shared" si="9"/>
        <v>44196</v>
      </c>
      <c r="D233" s="51">
        <f t="shared" si="10"/>
        <v>50.5929</v>
      </c>
      <c r="E233" s="52"/>
      <c r="F233" s="53"/>
    </row>
    <row r="234" spans="1:6" x14ac:dyDescent="0.3">
      <c r="A234" s="48">
        <v>44169</v>
      </c>
      <c r="B234" s="49">
        <v>49.678800000000003</v>
      </c>
      <c r="C234" s="50">
        <f t="shared" si="9"/>
        <v>44196</v>
      </c>
      <c r="D234" s="51">
        <f t="shared" si="10"/>
        <v>50.5929</v>
      </c>
      <c r="E234" s="52"/>
      <c r="F234" s="53"/>
    </row>
    <row r="235" spans="1:6" x14ac:dyDescent="0.3">
      <c r="A235" s="48">
        <v>44172</v>
      </c>
      <c r="B235" s="49">
        <v>50.545099999999998</v>
      </c>
      <c r="C235" s="50">
        <f t="shared" si="9"/>
        <v>44196</v>
      </c>
      <c r="D235" s="51">
        <f t="shared" si="10"/>
        <v>50.5929</v>
      </c>
      <c r="E235" s="52"/>
      <c r="F235" s="53"/>
    </row>
    <row r="236" spans="1:6" x14ac:dyDescent="0.3">
      <c r="A236" s="48">
        <v>44173</v>
      </c>
      <c r="B236" s="49">
        <v>50.864600000000003</v>
      </c>
      <c r="C236" s="50">
        <f t="shared" si="9"/>
        <v>44196</v>
      </c>
      <c r="D236" s="51">
        <f t="shared" si="10"/>
        <v>50.5929</v>
      </c>
      <c r="E236" s="52"/>
      <c r="F236" s="53"/>
    </row>
    <row r="237" spans="1:6" x14ac:dyDescent="0.3">
      <c r="A237" s="48">
        <v>44174</v>
      </c>
      <c r="B237" s="49">
        <v>50.7986</v>
      </c>
      <c r="C237" s="50">
        <f t="shared" si="9"/>
        <v>44196</v>
      </c>
      <c r="D237" s="51">
        <f t="shared" si="10"/>
        <v>50.5929</v>
      </c>
      <c r="E237" s="52"/>
      <c r="F237" s="53"/>
    </row>
    <row r="238" spans="1:6" x14ac:dyDescent="0.3">
      <c r="A238" s="48">
        <v>44175</v>
      </c>
      <c r="B238" s="49">
        <v>50.332799999999999</v>
      </c>
      <c r="C238" s="50">
        <f t="shared" si="9"/>
        <v>44196</v>
      </c>
      <c r="D238" s="51">
        <f t="shared" si="10"/>
        <v>50.5929</v>
      </c>
      <c r="E238" s="52"/>
      <c r="F238" s="53"/>
    </row>
    <row r="239" spans="1:6" x14ac:dyDescent="0.3">
      <c r="A239" s="48">
        <v>44176</v>
      </c>
      <c r="B239" s="49">
        <v>50.538699999999999</v>
      </c>
      <c r="C239" s="50">
        <f t="shared" si="9"/>
        <v>44196</v>
      </c>
      <c r="D239" s="51">
        <f t="shared" si="10"/>
        <v>50.5929</v>
      </c>
      <c r="E239" s="52"/>
      <c r="F239" s="53"/>
    </row>
    <row r="240" spans="1:6" x14ac:dyDescent="0.3">
      <c r="A240" s="48">
        <v>44179</v>
      </c>
      <c r="B240" s="49">
        <v>50.403700000000001</v>
      </c>
      <c r="C240" s="50">
        <f t="shared" si="9"/>
        <v>44196</v>
      </c>
      <c r="D240" s="51">
        <f t="shared" si="10"/>
        <v>50.5929</v>
      </c>
      <c r="E240" s="52"/>
      <c r="F240" s="53"/>
    </row>
    <row r="241" spans="1:6" x14ac:dyDescent="0.3">
      <c r="A241" s="48">
        <v>44180</v>
      </c>
      <c r="B241" s="49">
        <v>50.546700000000001</v>
      </c>
      <c r="C241" s="50">
        <f t="shared" si="9"/>
        <v>44196</v>
      </c>
      <c r="D241" s="51">
        <f t="shared" si="10"/>
        <v>50.5929</v>
      </c>
      <c r="E241" s="52"/>
      <c r="F241" s="53"/>
    </row>
    <row r="242" spans="1:6" x14ac:dyDescent="0.3">
      <c r="A242" s="48">
        <v>44181</v>
      </c>
      <c r="B242" s="49">
        <v>50.673699999999997</v>
      </c>
      <c r="C242" s="50">
        <f t="shared" si="9"/>
        <v>44196</v>
      </c>
      <c r="D242" s="51">
        <f t="shared" si="10"/>
        <v>50.5929</v>
      </c>
      <c r="E242" s="52"/>
      <c r="F242" s="53"/>
    </row>
    <row r="243" spans="1:6" x14ac:dyDescent="0.3">
      <c r="A243" s="48">
        <v>44182</v>
      </c>
      <c r="B243" s="49">
        <v>50.569299999999998</v>
      </c>
      <c r="C243" s="50">
        <f t="shared" si="9"/>
        <v>44196</v>
      </c>
      <c r="D243" s="51">
        <f t="shared" si="10"/>
        <v>50.5929</v>
      </c>
      <c r="E243" s="52"/>
      <c r="F243" s="53"/>
    </row>
    <row r="244" spans="1:6" x14ac:dyDescent="0.3">
      <c r="A244" s="48">
        <v>44183</v>
      </c>
      <c r="B244" s="49">
        <v>50.346200000000003</v>
      </c>
      <c r="C244" s="50">
        <f t="shared" si="9"/>
        <v>44196</v>
      </c>
      <c r="D244" s="51">
        <f t="shared" si="10"/>
        <v>50.5929</v>
      </c>
      <c r="E244" s="52"/>
      <c r="F244" s="53"/>
    </row>
    <row r="245" spans="1:6" x14ac:dyDescent="0.3">
      <c r="A245" s="48">
        <v>44186</v>
      </c>
      <c r="B245" s="49">
        <v>49.049599999999998</v>
      </c>
      <c r="C245" s="50">
        <f t="shared" si="9"/>
        <v>44196</v>
      </c>
      <c r="D245" s="51">
        <f t="shared" si="10"/>
        <v>50.5929</v>
      </c>
      <c r="E245" s="52"/>
      <c r="F245" s="53"/>
    </row>
    <row r="246" spans="1:6" x14ac:dyDescent="0.3">
      <c r="A246" s="48">
        <v>44187</v>
      </c>
      <c r="B246" s="49">
        <v>49.0306</v>
      </c>
      <c r="C246" s="50">
        <f t="shared" si="9"/>
        <v>44196</v>
      </c>
      <c r="D246" s="51">
        <f t="shared" si="10"/>
        <v>50.5929</v>
      </c>
      <c r="E246" s="52"/>
      <c r="F246" s="53"/>
    </row>
    <row r="247" spans="1:6" x14ac:dyDescent="0.3">
      <c r="A247" s="48">
        <v>44188</v>
      </c>
      <c r="B247" s="49">
        <v>49.653500000000001</v>
      </c>
      <c r="C247" s="50">
        <f t="shared" si="9"/>
        <v>44196</v>
      </c>
      <c r="D247" s="51">
        <f t="shared" si="10"/>
        <v>50.5929</v>
      </c>
      <c r="E247" s="52"/>
      <c r="F247" s="53"/>
    </row>
    <row r="248" spans="1:6" x14ac:dyDescent="0.3">
      <c r="A248" s="48">
        <v>44189</v>
      </c>
      <c r="B248" s="49">
        <v>49.732700000000001</v>
      </c>
      <c r="C248" s="50">
        <f t="shared" si="9"/>
        <v>44196</v>
      </c>
      <c r="D248" s="51">
        <f t="shared" si="10"/>
        <v>50.5929</v>
      </c>
      <c r="E248" s="52"/>
      <c r="F248" s="53"/>
    </row>
    <row r="249" spans="1:6" x14ac:dyDescent="0.3">
      <c r="A249" s="48">
        <v>44193</v>
      </c>
      <c r="B249" s="49">
        <v>50.514299999999999</v>
      </c>
      <c r="C249" s="50">
        <f t="shared" si="9"/>
        <v>44196</v>
      </c>
      <c r="D249" s="51">
        <f t="shared" si="10"/>
        <v>50.5929</v>
      </c>
      <c r="E249" s="52"/>
      <c r="F249" s="53"/>
    </row>
    <row r="250" spans="1:6" x14ac:dyDescent="0.3">
      <c r="A250" s="48">
        <v>44194</v>
      </c>
      <c r="B250" s="49">
        <v>50.741900000000001</v>
      </c>
      <c r="C250" s="50">
        <f t="shared" si="9"/>
        <v>44196</v>
      </c>
      <c r="D250" s="51">
        <f t="shared" si="10"/>
        <v>50.5929</v>
      </c>
      <c r="E250" s="52"/>
      <c r="F250" s="53"/>
    </row>
    <row r="251" spans="1:6" x14ac:dyDescent="0.3">
      <c r="A251" s="48">
        <v>44195</v>
      </c>
      <c r="B251" s="49">
        <v>50.628799999999998</v>
      </c>
      <c r="C251" s="50">
        <f t="shared" si="9"/>
        <v>44196</v>
      </c>
      <c r="D251" s="51">
        <f t="shared" si="10"/>
        <v>50.5929</v>
      </c>
      <c r="E251" s="52"/>
      <c r="F251" s="53"/>
    </row>
    <row r="252" spans="1:6" x14ac:dyDescent="0.3">
      <c r="A252" s="48">
        <v>44196</v>
      </c>
      <c r="B252" s="49">
        <v>50.5929</v>
      </c>
      <c r="C252" s="50">
        <f t="shared" si="9"/>
        <v>44196</v>
      </c>
      <c r="D252" s="51">
        <f t="shared" si="10"/>
        <v>50.5929</v>
      </c>
      <c r="E252" s="52"/>
      <c r="F252" s="53"/>
    </row>
    <row r="253" spans="1:6" x14ac:dyDescent="0.3">
      <c r="A253" s="48">
        <v>44197</v>
      </c>
      <c r="B253" s="49">
        <v>50.761699999999998</v>
      </c>
      <c r="C253" s="50">
        <f t="shared" si="9"/>
        <v>44227</v>
      </c>
      <c r="D253" s="51">
        <f t="shared" si="10"/>
        <v>49.9191</v>
      </c>
      <c r="E253" s="52"/>
      <c r="F253" s="53"/>
    </row>
    <row r="254" spans="1:6" x14ac:dyDescent="0.3">
      <c r="A254" s="48">
        <v>44200</v>
      </c>
      <c r="B254" s="49">
        <v>51.3581</v>
      </c>
      <c r="C254" s="50">
        <f t="shared" si="9"/>
        <v>44227</v>
      </c>
      <c r="D254" s="51">
        <f t="shared" si="10"/>
        <v>49.9191</v>
      </c>
      <c r="E254" s="52"/>
      <c r="F254" s="53"/>
    </row>
    <row r="255" spans="1:6" x14ac:dyDescent="0.3">
      <c r="A255" s="48">
        <v>44201</v>
      </c>
      <c r="B255" s="49">
        <v>51.628399999999999</v>
      </c>
      <c r="C255" s="50">
        <f t="shared" si="9"/>
        <v>44227</v>
      </c>
      <c r="D255" s="51">
        <f t="shared" si="10"/>
        <v>49.9191</v>
      </c>
      <c r="E255" s="52"/>
      <c r="F255" s="53"/>
    </row>
    <row r="256" spans="1:6" x14ac:dyDescent="0.3">
      <c r="A256" s="48">
        <v>44202</v>
      </c>
      <c r="B256" s="49">
        <v>51.561599999999999</v>
      </c>
      <c r="C256" s="50">
        <f t="shared" si="9"/>
        <v>44227</v>
      </c>
      <c r="D256" s="51">
        <f t="shared" si="10"/>
        <v>49.9191</v>
      </c>
      <c r="E256" s="52"/>
      <c r="F256" s="53"/>
    </row>
    <row r="257" spans="1:6" x14ac:dyDescent="0.3">
      <c r="A257" s="48">
        <v>44203</v>
      </c>
      <c r="B257" s="49">
        <v>51.366100000000003</v>
      </c>
      <c r="C257" s="50">
        <f t="shared" si="9"/>
        <v>44227</v>
      </c>
      <c r="D257" s="51">
        <f t="shared" si="10"/>
        <v>49.9191</v>
      </c>
      <c r="E257" s="52"/>
      <c r="F257" s="53"/>
    </row>
    <row r="258" spans="1:6" x14ac:dyDescent="0.3">
      <c r="A258" s="48">
        <v>44204</v>
      </c>
      <c r="B258" s="49">
        <v>51.638100000000001</v>
      </c>
      <c r="C258" s="50">
        <f t="shared" si="9"/>
        <v>44227</v>
      </c>
      <c r="D258" s="51">
        <f t="shared" si="10"/>
        <v>49.9191</v>
      </c>
      <c r="E258" s="52"/>
      <c r="F258" s="53"/>
    </row>
    <row r="259" spans="1:6" x14ac:dyDescent="0.3">
      <c r="A259" s="48">
        <v>44207</v>
      </c>
      <c r="B259" s="49">
        <v>51.080599999999997</v>
      </c>
      <c r="C259" s="50">
        <f t="shared" ref="C259:C322" si="11">EOMONTH(A259,0)</f>
        <v>44227</v>
      </c>
      <c r="D259" s="51">
        <f t="shared" ref="D259:D322" si="12">INDEX($B$3:$B$2001, MATCH($C259, $A$3:$A$2001, 1))</f>
        <v>49.9191</v>
      </c>
      <c r="E259" s="52"/>
      <c r="F259" s="53"/>
    </row>
    <row r="260" spans="1:6" x14ac:dyDescent="0.3">
      <c r="A260" s="48">
        <v>44208</v>
      </c>
      <c r="B260" s="49">
        <v>51.134599999999999</v>
      </c>
      <c r="C260" s="50">
        <f t="shared" si="11"/>
        <v>44227</v>
      </c>
      <c r="D260" s="51">
        <f t="shared" si="12"/>
        <v>49.9191</v>
      </c>
      <c r="E260" s="52"/>
      <c r="F260" s="53"/>
    </row>
    <row r="261" spans="1:6" x14ac:dyDescent="0.3">
      <c r="A261" s="48">
        <v>44209</v>
      </c>
      <c r="B261" s="49">
        <v>50.697600000000001</v>
      </c>
      <c r="C261" s="50">
        <f t="shared" si="11"/>
        <v>44227</v>
      </c>
      <c r="D261" s="51">
        <f t="shared" si="12"/>
        <v>49.9191</v>
      </c>
      <c r="E261" s="52"/>
      <c r="F261" s="53"/>
    </row>
    <row r="262" spans="1:6" x14ac:dyDescent="0.3">
      <c r="A262" s="48">
        <v>44210</v>
      </c>
      <c r="B262" s="49">
        <v>50.840400000000002</v>
      </c>
      <c r="C262" s="50">
        <f t="shared" si="11"/>
        <v>44227</v>
      </c>
      <c r="D262" s="51">
        <f t="shared" si="12"/>
        <v>49.9191</v>
      </c>
      <c r="E262" s="52"/>
      <c r="F262" s="53"/>
    </row>
    <row r="263" spans="1:6" x14ac:dyDescent="0.3">
      <c r="A263" s="48">
        <v>44211</v>
      </c>
      <c r="B263" s="49">
        <v>50.489699999999999</v>
      </c>
      <c r="C263" s="50">
        <f t="shared" si="11"/>
        <v>44227</v>
      </c>
      <c r="D263" s="51">
        <f t="shared" si="12"/>
        <v>49.9191</v>
      </c>
      <c r="E263" s="52"/>
      <c r="F263" s="53"/>
    </row>
    <row r="264" spans="1:6" x14ac:dyDescent="0.3">
      <c r="A264" s="48">
        <v>44214</v>
      </c>
      <c r="B264" s="49">
        <v>49.9895</v>
      </c>
      <c r="C264" s="50">
        <f t="shared" si="11"/>
        <v>44227</v>
      </c>
      <c r="D264" s="51">
        <f t="shared" si="12"/>
        <v>49.9191</v>
      </c>
      <c r="E264" s="52"/>
      <c r="F264" s="53"/>
    </row>
    <row r="265" spans="1:6" x14ac:dyDescent="0.3">
      <c r="A265" s="48">
        <v>44215</v>
      </c>
      <c r="B265" s="49">
        <v>50.4634</v>
      </c>
      <c r="C265" s="50">
        <f t="shared" si="11"/>
        <v>44227</v>
      </c>
      <c r="D265" s="51">
        <f t="shared" si="12"/>
        <v>49.9191</v>
      </c>
      <c r="E265" s="52"/>
      <c r="F265" s="53"/>
    </row>
    <row r="266" spans="1:6" x14ac:dyDescent="0.3">
      <c r="A266" s="48">
        <v>44216</v>
      </c>
      <c r="B266" s="49">
        <v>50.428100000000001</v>
      </c>
      <c r="C266" s="50">
        <f t="shared" si="11"/>
        <v>44227</v>
      </c>
      <c r="D266" s="51">
        <f t="shared" si="12"/>
        <v>49.9191</v>
      </c>
      <c r="E266" s="52"/>
      <c r="F266" s="53"/>
    </row>
    <row r="267" spans="1:6" x14ac:dyDescent="0.3">
      <c r="A267" s="48">
        <v>44217</v>
      </c>
      <c r="B267" s="49">
        <v>50.261000000000003</v>
      </c>
      <c r="C267" s="50">
        <f t="shared" si="11"/>
        <v>44227</v>
      </c>
      <c r="D267" s="51">
        <f t="shared" si="12"/>
        <v>49.9191</v>
      </c>
      <c r="E267" s="52"/>
      <c r="F267" s="53"/>
    </row>
    <row r="268" spans="1:6" x14ac:dyDescent="0.3">
      <c r="A268" s="48">
        <v>44218</v>
      </c>
      <c r="B268" s="49">
        <v>50.303699999999999</v>
      </c>
      <c r="C268" s="50">
        <f t="shared" si="11"/>
        <v>44227</v>
      </c>
      <c r="D268" s="51">
        <f t="shared" si="12"/>
        <v>49.9191</v>
      </c>
      <c r="E268" s="52"/>
      <c r="F268" s="53"/>
    </row>
    <row r="269" spans="1:6" x14ac:dyDescent="0.3">
      <c r="A269" s="48">
        <v>44221</v>
      </c>
      <c r="B269" s="49">
        <v>50.229199999999999</v>
      </c>
      <c r="C269" s="50">
        <f t="shared" si="11"/>
        <v>44227</v>
      </c>
      <c r="D269" s="51">
        <f t="shared" si="12"/>
        <v>49.9191</v>
      </c>
      <c r="E269" s="52"/>
      <c r="F269" s="53"/>
    </row>
    <row r="270" spans="1:6" x14ac:dyDescent="0.3">
      <c r="A270" s="48">
        <v>44223</v>
      </c>
      <c r="B270" s="49">
        <v>49.509900000000002</v>
      </c>
      <c r="C270" s="50">
        <f t="shared" si="11"/>
        <v>44227</v>
      </c>
      <c r="D270" s="51">
        <f t="shared" si="12"/>
        <v>49.9191</v>
      </c>
      <c r="E270" s="52"/>
      <c r="F270" s="53"/>
    </row>
    <row r="271" spans="1:6" x14ac:dyDescent="0.3">
      <c r="A271" s="48">
        <v>44224</v>
      </c>
      <c r="B271" s="49">
        <v>49.7194</v>
      </c>
      <c r="C271" s="50">
        <f t="shared" si="11"/>
        <v>44227</v>
      </c>
      <c r="D271" s="51">
        <f t="shared" si="12"/>
        <v>49.9191</v>
      </c>
      <c r="E271" s="52"/>
      <c r="F271" s="53"/>
    </row>
    <row r="272" spans="1:6" x14ac:dyDescent="0.3">
      <c r="A272" s="48">
        <v>44225</v>
      </c>
      <c r="B272" s="49">
        <v>49.9191</v>
      </c>
      <c r="C272" s="50">
        <f t="shared" si="11"/>
        <v>44227</v>
      </c>
      <c r="D272" s="51">
        <f t="shared" si="12"/>
        <v>49.9191</v>
      </c>
      <c r="E272" s="52"/>
      <c r="F272" s="53"/>
    </row>
    <row r="273" spans="1:6" x14ac:dyDescent="0.3">
      <c r="A273" s="48">
        <v>44228</v>
      </c>
      <c r="B273" s="49">
        <v>50.009599999999999</v>
      </c>
      <c r="C273" s="50">
        <f t="shared" si="11"/>
        <v>44255</v>
      </c>
      <c r="D273" s="51">
        <f t="shared" si="12"/>
        <v>52.4131</v>
      </c>
      <c r="E273" s="52"/>
      <c r="F273" s="53"/>
    </row>
    <row r="274" spans="1:6" x14ac:dyDescent="0.3">
      <c r="A274" s="48">
        <v>44229</v>
      </c>
      <c r="B274" s="49">
        <v>50.279299999999999</v>
      </c>
      <c r="C274" s="50">
        <f t="shared" si="11"/>
        <v>44255</v>
      </c>
      <c r="D274" s="51">
        <f t="shared" si="12"/>
        <v>52.4131</v>
      </c>
      <c r="E274" s="52"/>
      <c r="F274" s="53"/>
    </row>
    <row r="275" spans="1:6" x14ac:dyDescent="0.3">
      <c r="A275" s="48">
        <v>44230</v>
      </c>
      <c r="B275" s="49">
        <v>51.391100000000002</v>
      </c>
      <c r="C275" s="50">
        <f t="shared" si="11"/>
        <v>44255</v>
      </c>
      <c r="D275" s="51">
        <f t="shared" si="12"/>
        <v>52.4131</v>
      </c>
      <c r="E275" s="52"/>
      <c r="F275" s="53"/>
    </row>
    <row r="276" spans="1:6" x14ac:dyDescent="0.3">
      <c r="A276" s="48">
        <v>44231</v>
      </c>
      <c r="B276" s="49">
        <v>51.375</v>
      </c>
      <c r="C276" s="50">
        <f t="shared" si="11"/>
        <v>44255</v>
      </c>
      <c r="D276" s="51">
        <f t="shared" si="12"/>
        <v>52.4131</v>
      </c>
      <c r="E276" s="52"/>
      <c r="F276" s="53"/>
    </row>
    <row r="277" spans="1:6" x14ac:dyDescent="0.3">
      <c r="A277" s="48">
        <v>44232</v>
      </c>
      <c r="B277" s="49">
        <v>50.680300000000003</v>
      </c>
      <c r="C277" s="50">
        <f t="shared" si="11"/>
        <v>44255</v>
      </c>
      <c r="D277" s="51">
        <f t="shared" si="12"/>
        <v>52.4131</v>
      </c>
      <c r="E277" s="52"/>
      <c r="F277" s="53"/>
    </row>
    <row r="278" spans="1:6" x14ac:dyDescent="0.3">
      <c r="A278" s="48">
        <v>44235</v>
      </c>
      <c r="B278" s="49">
        <v>50.861600000000003</v>
      </c>
      <c r="C278" s="50">
        <f t="shared" si="11"/>
        <v>44255</v>
      </c>
      <c r="D278" s="51">
        <f t="shared" si="12"/>
        <v>52.4131</v>
      </c>
      <c r="E278" s="52"/>
      <c r="F278" s="53"/>
    </row>
    <row r="279" spans="1:6" x14ac:dyDescent="0.3">
      <c r="A279" s="48">
        <v>44236</v>
      </c>
      <c r="B279" s="49">
        <v>50.8414</v>
      </c>
      <c r="C279" s="50">
        <f t="shared" si="11"/>
        <v>44255</v>
      </c>
      <c r="D279" s="51">
        <f t="shared" si="12"/>
        <v>52.4131</v>
      </c>
      <c r="E279" s="52"/>
      <c r="F279" s="53"/>
    </row>
    <row r="280" spans="1:6" x14ac:dyDescent="0.3">
      <c r="A280" s="48">
        <v>44237</v>
      </c>
      <c r="B280" s="49">
        <v>50.849400000000003</v>
      </c>
      <c r="C280" s="50">
        <f t="shared" si="11"/>
        <v>44255</v>
      </c>
      <c r="D280" s="51">
        <f t="shared" si="12"/>
        <v>52.4131</v>
      </c>
      <c r="E280" s="52"/>
      <c r="F280" s="53"/>
    </row>
    <row r="281" spans="1:6" x14ac:dyDescent="0.3">
      <c r="A281" s="48">
        <v>44238</v>
      </c>
      <c r="B281" s="49">
        <v>51.532299999999999</v>
      </c>
      <c r="C281" s="50">
        <f t="shared" si="11"/>
        <v>44255</v>
      </c>
      <c r="D281" s="51">
        <f t="shared" si="12"/>
        <v>52.4131</v>
      </c>
      <c r="E281" s="52"/>
      <c r="F281" s="53"/>
    </row>
    <row r="282" spans="1:6" x14ac:dyDescent="0.3">
      <c r="A282" s="48">
        <v>44239</v>
      </c>
      <c r="B282" s="49">
        <v>51.2607</v>
      </c>
      <c r="C282" s="50">
        <f t="shared" si="11"/>
        <v>44255</v>
      </c>
      <c r="D282" s="51">
        <f t="shared" si="12"/>
        <v>52.4131</v>
      </c>
      <c r="E282" s="52"/>
      <c r="F282" s="53"/>
    </row>
    <row r="283" spans="1:6" x14ac:dyDescent="0.3">
      <c r="A283" s="48">
        <v>44242</v>
      </c>
      <c r="B283" s="49">
        <v>50.9741</v>
      </c>
      <c r="C283" s="50">
        <f t="shared" si="11"/>
        <v>44255</v>
      </c>
      <c r="D283" s="51">
        <f t="shared" si="12"/>
        <v>52.4131</v>
      </c>
      <c r="E283" s="52"/>
      <c r="F283" s="53"/>
    </row>
    <row r="284" spans="1:6" x14ac:dyDescent="0.3">
      <c r="A284" s="48">
        <v>44243</v>
      </c>
      <c r="B284" s="49">
        <v>51.2468</v>
      </c>
      <c r="C284" s="50">
        <f t="shared" si="11"/>
        <v>44255</v>
      </c>
      <c r="D284" s="51">
        <f t="shared" si="12"/>
        <v>52.4131</v>
      </c>
      <c r="E284" s="52"/>
      <c r="F284" s="53"/>
    </row>
    <row r="285" spans="1:6" x14ac:dyDescent="0.3">
      <c r="A285" s="48">
        <v>44244</v>
      </c>
      <c r="B285" s="49">
        <v>51.5154</v>
      </c>
      <c r="C285" s="50">
        <f t="shared" si="11"/>
        <v>44255</v>
      </c>
      <c r="D285" s="51">
        <f t="shared" si="12"/>
        <v>52.4131</v>
      </c>
      <c r="E285" s="52"/>
      <c r="F285" s="53"/>
    </row>
    <row r="286" spans="1:6" x14ac:dyDescent="0.3">
      <c r="A286" s="48">
        <v>44245</v>
      </c>
      <c r="B286" s="49">
        <v>51.921100000000003</v>
      </c>
      <c r="C286" s="50">
        <f t="shared" si="11"/>
        <v>44255</v>
      </c>
      <c r="D286" s="51">
        <f t="shared" si="12"/>
        <v>52.4131</v>
      </c>
      <c r="E286" s="52"/>
      <c r="F286" s="53"/>
    </row>
    <row r="287" spans="1:6" x14ac:dyDescent="0.3">
      <c r="A287" s="48">
        <v>44246</v>
      </c>
      <c r="B287" s="49">
        <v>51.924399999999999</v>
      </c>
      <c r="C287" s="50">
        <f t="shared" si="11"/>
        <v>44255</v>
      </c>
      <c r="D287" s="51">
        <f t="shared" si="12"/>
        <v>52.4131</v>
      </c>
      <c r="E287" s="52"/>
      <c r="F287" s="53"/>
    </row>
    <row r="288" spans="1:6" x14ac:dyDescent="0.3">
      <c r="A288" s="48">
        <v>44249</v>
      </c>
      <c r="B288" s="49">
        <v>51.587800000000001</v>
      </c>
      <c r="C288" s="50">
        <f t="shared" si="11"/>
        <v>44255</v>
      </c>
      <c r="D288" s="51">
        <f t="shared" si="12"/>
        <v>52.4131</v>
      </c>
      <c r="E288" s="52"/>
      <c r="F288" s="53"/>
    </row>
    <row r="289" spans="1:6" x14ac:dyDescent="0.3">
      <c r="A289" s="48">
        <v>44250</v>
      </c>
      <c r="B289" s="49">
        <v>51.828000000000003</v>
      </c>
      <c r="C289" s="50">
        <f t="shared" si="11"/>
        <v>44255</v>
      </c>
      <c r="D289" s="51">
        <f t="shared" si="12"/>
        <v>52.4131</v>
      </c>
      <c r="E289" s="52"/>
      <c r="F289" s="53"/>
    </row>
    <row r="290" spans="1:6" x14ac:dyDescent="0.3">
      <c r="A290" s="48">
        <v>44251</v>
      </c>
      <c r="B290" s="49">
        <v>51.806800000000003</v>
      </c>
      <c r="C290" s="50">
        <f t="shared" si="11"/>
        <v>44255</v>
      </c>
      <c r="D290" s="51">
        <f t="shared" si="12"/>
        <v>52.4131</v>
      </c>
      <c r="E290" s="52"/>
      <c r="F290" s="53"/>
    </row>
    <row r="291" spans="1:6" x14ac:dyDescent="0.3">
      <c r="A291" s="48">
        <v>44252</v>
      </c>
      <c r="B291" s="49">
        <v>52.479199999999999</v>
      </c>
      <c r="C291" s="50">
        <f t="shared" si="11"/>
        <v>44255</v>
      </c>
      <c r="D291" s="51">
        <f t="shared" si="12"/>
        <v>52.4131</v>
      </c>
      <c r="E291" s="52"/>
      <c r="F291" s="53"/>
    </row>
    <row r="292" spans="1:6" x14ac:dyDescent="0.3">
      <c r="A292" s="48">
        <v>44253</v>
      </c>
      <c r="B292" s="49">
        <v>52.4131</v>
      </c>
      <c r="C292" s="50">
        <f t="shared" si="11"/>
        <v>44255</v>
      </c>
      <c r="D292" s="51">
        <f t="shared" si="12"/>
        <v>52.4131</v>
      </c>
      <c r="E292" s="52"/>
      <c r="F292" s="53"/>
    </row>
    <row r="293" spans="1:6" x14ac:dyDescent="0.3">
      <c r="A293" s="48">
        <v>44256</v>
      </c>
      <c r="B293" s="49">
        <v>53.371200000000002</v>
      </c>
      <c r="C293" s="50">
        <f t="shared" si="11"/>
        <v>44286</v>
      </c>
      <c r="D293" s="51">
        <f t="shared" si="12"/>
        <v>54.206499999999998</v>
      </c>
      <c r="E293" s="52"/>
      <c r="F293" s="53"/>
    </row>
    <row r="294" spans="1:6" x14ac:dyDescent="0.3">
      <c r="A294" s="48">
        <v>44257</v>
      </c>
      <c r="B294" s="49">
        <v>53.589399999999998</v>
      </c>
      <c r="C294" s="50">
        <f t="shared" si="11"/>
        <v>44286</v>
      </c>
      <c r="D294" s="51">
        <f t="shared" si="12"/>
        <v>54.206499999999998</v>
      </c>
      <c r="E294" s="52"/>
      <c r="F294" s="53"/>
    </row>
    <row r="295" spans="1:6" x14ac:dyDescent="0.3">
      <c r="A295" s="48">
        <v>44258</v>
      </c>
      <c r="B295" s="49">
        <v>53.591500000000003</v>
      </c>
      <c r="C295" s="50">
        <f t="shared" si="11"/>
        <v>44286</v>
      </c>
      <c r="D295" s="51">
        <f t="shared" si="12"/>
        <v>54.206499999999998</v>
      </c>
      <c r="E295" s="52"/>
      <c r="F295" s="53"/>
    </row>
    <row r="296" spans="1:6" x14ac:dyDescent="0.3">
      <c r="A296" s="48">
        <v>44259</v>
      </c>
      <c r="B296" s="49">
        <v>53.608499999999999</v>
      </c>
      <c r="C296" s="50">
        <f t="shared" si="11"/>
        <v>44286</v>
      </c>
      <c r="D296" s="51">
        <f t="shared" si="12"/>
        <v>54.206499999999998</v>
      </c>
      <c r="E296" s="52"/>
      <c r="F296" s="53"/>
    </row>
    <row r="297" spans="1:6" x14ac:dyDescent="0.3">
      <c r="A297" s="48">
        <v>44260</v>
      </c>
      <c r="B297" s="49">
        <v>52.6402</v>
      </c>
      <c r="C297" s="50">
        <f t="shared" si="11"/>
        <v>44286</v>
      </c>
      <c r="D297" s="51">
        <f t="shared" si="12"/>
        <v>54.206499999999998</v>
      </c>
      <c r="E297" s="52"/>
      <c r="F297" s="53"/>
    </row>
    <row r="298" spans="1:6" x14ac:dyDescent="0.3">
      <c r="A298" s="48">
        <v>44263</v>
      </c>
      <c r="B298" s="49">
        <v>52.851900000000001</v>
      </c>
      <c r="C298" s="50">
        <f t="shared" si="11"/>
        <v>44286</v>
      </c>
      <c r="D298" s="51">
        <f t="shared" si="12"/>
        <v>54.206499999999998</v>
      </c>
      <c r="E298" s="52"/>
      <c r="F298" s="53"/>
    </row>
    <row r="299" spans="1:6" x14ac:dyDescent="0.3">
      <c r="A299" s="48">
        <v>44264</v>
      </c>
      <c r="B299" s="49">
        <v>52.744199999999999</v>
      </c>
      <c r="C299" s="50">
        <f t="shared" si="11"/>
        <v>44286</v>
      </c>
      <c r="D299" s="51">
        <f t="shared" si="12"/>
        <v>54.206499999999998</v>
      </c>
      <c r="E299" s="52"/>
      <c r="F299" s="53"/>
    </row>
    <row r="300" spans="1:6" x14ac:dyDescent="0.3">
      <c r="A300" s="48">
        <v>44265</v>
      </c>
      <c r="B300" s="49">
        <v>52.831499999999998</v>
      </c>
      <c r="C300" s="50">
        <f t="shared" si="11"/>
        <v>44286</v>
      </c>
      <c r="D300" s="51">
        <f t="shared" si="12"/>
        <v>54.206499999999998</v>
      </c>
      <c r="E300" s="52"/>
      <c r="F300" s="53"/>
    </row>
    <row r="301" spans="1:6" x14ac:dyDescent="0.3">
      <c r="A301" s="48">
        <v>44267</v>
      </c>
      <c r="B301" s="49">
        <v>52.8733</v>
      </c>
      <c r="C301" s="50">
        <f t="shared" si="11"/>
        <v>44286</v>
      </c>
      <c r="D301" s="51">
        <f t="shared" si="12"/>
        <v>54.206499999999998</v>
      </c>
      <c r="E301" s="52"/>
      <c r="F301" s="53"/>
    </row>
    <row r="302" spans="1:6" x14ac:dyDescent="0.3">
      <c r="A302" s="48">
        <v>44270</v>
      </c>
      <c r="B302" s="49">
        <v>52.865600000000001</v>
      </c>
      <c r="C302" s="50">
        <f t="shared" si="11"/>
        <v>44286</v>
      </c>
      <c r="D302" s="51">
        <f t="shared" si="12"/>
        <v>54.206499999999998</v>
      </c>
      <c r="E302" s="52"/>
      <c r="F302" s="53"/>
    </row>
    <row r="303" spans="1:6" x14ac:dyDescent="0.3">
      <c r="A303" s="48">
        <v>44271</v>
      </c>
      <c r="B303" s="49">
        <v>53.292700000000004</v>
      </c>
      <c r="C303" s="50">
        <f t="shared" si="11"/>
        <v>44286</v>
      </c>
      <c r="D303" s="51">
        <f t="shared" si="12"/>
        <v>54.206499999999998</v>
      </c>
      <c r="E303" s="52"/>
      <c r="F303" s="53"/>
    </row>
    <row r="304" spans="1:6" x14ac:dyDescent="0.3">
      <c r="A304" s="48">
        <v>44272</v>
      </c>
      <c r="B304" s="49">
        <v>53.060099999999998</v>
      </c>
      <c r="C304" s="50">
        <f t="shared" si="11"/>
        <v>44286</v>
      </c>
      <c r="D304" s="51">
        <f t="shared" si="12"/>
        <v>54.206499999999998</v>
      </c>
      <c r="E304" s="52"/>
      <c r="F304" s="53"/>
    </row>
    <row r="305" spans="1:6" x14ac:dyDescent="0.3">
      <c r="A305" s="48">
        <v>44273</v>
      </c>
      <c r="B305" s="49">
        <v>53.017899999999997</v>
      </c>
      <c r="C305" s="50">
        <f t="shared" si="11"/>
        <v>44286</v>
      </c>
      <c r="D305" s="51">
        <f t="shared" si="12"/>
        <v>54.206499999999998</v>
      </c>
      <c r="E305" s="52"/>
      <c r="F305" s="53"/>
    </row>
    <row r="306" spans="1:6" x14ac:dyDescent="0.3">
      <c r="A306" s="48">
        <v>44274</v>
      </c>
      <c r="B306" s="49">
        <v>54.478999999999999</v>
      </c>
      <c r="C306" s="50">
        <f t="shared" si="11"/>
        <v>44286</v>
      </c>
      <c r="D306" s="51">
        <f t="shared" si="12"/>
        <v>54.206499999999998</v>
      </c>
      <c r="E306" s="52"/>
      <c r="F306" s="53"/>
    </row>
    <row r="307" spans="1:6" x14ac:dyDescent="0.3">
      <c r="A307" s="48">
        <v>44277</v>
      </c>
      <c r="B307" s="49">
        <v>54.995600000000003</v>
      </c>
      <c r="C307" s="50">
        <f t="shared" si="11"/>
        <v>44286</v>
      </c>
      <c r="D307" s="51">
        <f t="shared" si="12"/>
        <v>54.206499999999998</v>
      </c>
      <c r="E307" s="52"/>
      <c r="F307" s="53"/>
    </row>
    <row r="308" spans="1:6" x14ac:dyDescent="0.3">
      <c r="A308" s="48">
        <v>44278</v>
      </c>
      <c r="B308" s="49">
        <v>55.411499999999997</v>
      </c>
      <c r="C308" s="50">
        <f t="shared" si="11"/>
        <v>44286</v>
      </c>
      <c r="D308" s="51">
        <f t="shared" si="12"/>
        <v>54.206499999999998</v>
      </c>
      <c r="E308" s="52"/>
      <c r="F308" s="53"/>
    </row>
    <row r="309" spans="1:6" x14ac:dyDescent="0.3">
      <c r="A309" s="48">
        <v>44279</v>
      </c>
      <c r="B309" s="49">
        <v>54.695099999999996</v>
      </c>
      <c r="C309" s="50">
        <f t="shared" si="11"/>
        <v>44286</v>
      </c>
      <c r="D309" s="51">
        <f t="shared" si="12"/>
        <v>54.206499999999998</v>
      </c>
      <c r="E309" s="52"/>
      <c r="F309" s="53"/>
    </row>
    <row r="310" spans="1:6" x14ac:dyDescent="0.3">
      <c r="A310" s="48">
        <v>44280</v>
      </c>
      <c r="B310" s="49">
        <v>53.8889</v>
      </c>
      <c r="C310" s="50">
        <f t="shared" si="11"/>
        <v>44286</v>
      </c>
      <c r="D310" s="51">
        <f t="shared" si="12"/>
        <v>54.206499999999998</v>
      </c>
      <c r="E310" s="52"/>
      <c r="F310" s="53"/>
    </row>
    <row r="311" spans="1:6" x14ac:dyDescent="0.3">
      <c r="A311" s="48">
        <v>44281</v>
      </c>
      <c r="B311" s="49">
        <v>53.977800000000002</v>
      </c>
      <c r="C311" s="50">
        <f t="shared" si="11"/>
        <v>44286</v>
      </c>
      <c r="D311" s="51">
        <f t="shared" si="12"/>
        <v>54.206499999999998</v>
      </c>
      <c r="E311" s="52"/>
      <c r="F311" s="53"/>
    </row>
    <row r="312" spans="1:6" x14ac:dyDescent="0.3">
      <c r="A312" s="48">
        <v>44285</v>
      </c>
      <c r="B312" s="49">
        <v>54.2866</v>
      </c>
      <c r="C312" s="50">
        <f t="shared" si="11"/>
        <v>44286</v>
      </c>
      <c r="D312" s="51">
        <f t="shared" si="12"/>
        <v>54.206499999999998</v>
      </c>
      <c r="E312" s="52"/>
      <c r="F312" s="53"/>
    </row>
    <row r="313" spans="1:6" x14ac:dyDescent="0.3">
      <c r="A313" s="48">
        <v>44286</v>
      </c>
      <c r="B313" s="49">
        <v>54.206499999999998</v>
      </c>
      <c r="C313" s="50">
        <f t="shared" si="11"/>
        <v>44286</v>
      </c>
      <c r="D313" s="51">
        <f t="shared" si="12"/>
        <v>54.206499999999998</v>
      </c>
      <c r="E313" s="52"/>
      <c r="F313" s="53"/>
    </row>
    <row r="314" spans="1:6" x14ac:dyDescent="0.3">
      <c r="A314" s="48">
        <v>44287</v>
      </c>
      <c r="B314" s="49">
        <v>55.360100000000003</v>
      </c>
      <c r="C314" s="50">
        <f t="shared" si="11"/>
        <v>44316</v>
      </c>
      <c r="D314" s="51">
        <f t="shared" si="12"/>
        <v>61.483699999999999</v>
      </c>
      <c r="E314" s="52"/>
      <c r="F314" s="53"/>
    </row>
    <row r="315" spans="1:6" x14ac:dyDescent="0.3">
      <c r="A315" s="48">
        <v>44291</v>
      </c>
      <c r="B315" s="49">
        <v>56.467199999999998</v>
      </c>
      <c r="C315" s="50">
        <f t="shared" si="11"/>
        <v>44316</v>
      </c>
      <c r="D315" s="51">
        <f t="shared" si="12"/>
        <v>61.483699999999999</v>
      </c>
      <c r="E315" s="52"/>
      <c r="F315" s="53"/>
    </row>
    <row r="316" spans="1:6" x14ac:dyDescent="0.3">
      <c r="A316" s="48">
        <v>44292</v>
      </c>
      <c r="B316" s="49">
        <v>57.020200000000003</v>
      </c>
      <c r="C316" s="50">
        <f t="shared" si="11"/>
        <v>44316</v>
      </c>
      <c r="D316" s="51">
        <f t="shared" si="12"/>
        <v>61.483699999999999</v>
      </c>
      <c r="E316" s="52"/>
      <c r="F316" s="53"/>
    </row>
    <row r="317" spans="1:6" x14ac:dyDescent="0.3">
      <c r="A317" s="48">
        <v>44293</v>
      </c>
      <c r="B317" s="49">
        <v>57.667900000000003</v>
      </c>
      <c r="C317" s="50">
        <f t="shared" si="11"/>
        <v>44316</v>
      </c>
      <c r="D317" s="51">
        <f t="shared" si="12"/>
        <v>61.483699999999999</v>
      </c>
      <c r="E317" s="52"/>
      <c r="F317" s="53"/>
    </row>
    <row r="318" spans="1:6" x14ac:dyDescent="0.3">
      <c r="A318" s="48">
        <v>44294</v>
      </c>
      <c r="B318" s="49">
        <v>58.003999999999998</v>
      </c>
      <c r="C318" s="50">
        <f t="shared" si="11"/>
        <v>44316</v>
      </c>
      <c r="D318" s="51">
        <f t="shared" si="12"/>
        <v>61.483699999999999</v>
      </c>
      <c r="E318" s="52"/>
      <c r="F318" s="53"/>
    </row>
    <row r="319" spans="1:6" x14ac:dyDescent="0.3">
      <c r="A319" s="48">
        <v>44295</v>
      </c>
      <c r="B319" s="49">
        <v>59.564900000000002</v>
      </c>
      <c r="C319" s="50">
        <f t="shared" si="11"/>
        <v>44316</v>
      </c>
      <c r="D319" s="51">
        <f t="shared" si="12"/>
        <v>61.483699999999999</v>
      </c>
      <c r="E319" s="52"/>
      <c r="F319" s="53"/>
    </row>
    <row r="320" spans="1:6" x14ac:dyDescent="0.3">
      <c r="A320" s="48">
        <v>44298</v>
      </c>
      <c r="B320" s="49">
        <v>58.3979</v>
      </c>
      <c r="C320" s="50">
        <f t="shared" si="11"/>
        <v>44316</v>
      </c>
      <c r="D320" s="51">
        <f t="shared" si="12"/>
        <v>61.483699999999999</v>
      </c>
      <c r="E320" s="52"/>
      <c r="F320" s="53"/>
    </row>
    <row r="321" spans="1:6" x14ac:dyDescent="0.3">
      <c r="A321" s="48">
        <v>44299</v>
      </c>
      <c r="B321" s="49">
        <v>58.630800000000001</v>
      </c>
      <c r="C321" s="50">
        <f t="shared" si="11"/>
        <v>44316</v>
      </c>
      <c r="D321" s="51">
        <f t="shared" si="12"/>
        <v>61.483699999999999</v>
      </c>
      <c r="E321" s="52"/>
      <c r="F321" s="53"/>
    </row>
    <row r="322" spans="1:6" x14ac:dyDescent="0.3">
      <c r="A322" s="48">
        <v>44301</v>
      </c>
      <c r="B322" s="49">
        <v>58.5169</v>
      </c>
      <c r="C322" s="50">
        <f t="shared" si="11"/>
        <v>44316</v>
      </c>
      <c r="D322" s="51">
        <f t="shared" si="12"/>
        <v>61.483699999999999</v>
      </c>
      <c r="E322" s="52"/>
      <c r="F322" s="53"/>
    </row>
    <row r="323" spans="1:6" x14ac:dyDescent="0.3">
      <c r="A323" s="48">
        <v>44302</v>
      </c>
      <c r="B323" s="49">
        <v>59.791400000000003</v>
      </c>
      <c r="C323" s="50">
        <f t="shared" ref="C323:C386" si="13">EOMONTH(A323,0)</f>
        <v>44316</v>
      </c>
      <c r="D323" s="51">
        <f t="shared" ref="D323:D386" si="14">INDEX($B$3:$B$2001, MATCH($C323, $A$3:$A$2001, 1))</f>
        <v>61.483699999999999</v>
      </c>
      <c r="E323" s="52"/>
      <c r="F323" s="53"/>
    </row>
    <row r="324" spans="1:6" x14ac:dyDescent="0.3">
      <c r="A324" s="48">
        <v>44305</v>
      </c>
      <c r="B324" s="49">
        <v>59.655299999999997</v>
      </c>
      <c r="C324" s="50">
        <f t="shared" si="13"/>
        <v>44316</v>
      </c>
      <c r="D324" s="51">
        <f t="shared" si="14"/>
        <v>61.483699999999999</v>
      </c>
      <c r="E324" s="52"/>
      <c r="F324" s="53"/>
    </row>
    <row r="325" spans="1:6" x14ac:dyDescent="0.3">
      <c r="A325" s="48">
        <v>44306</v>
      </c>
      <c r="B325" s="49">
        <v>59.8551</v>
      </c>
      <c r="C325" s="50">
        <f t="shared" si="13"/>
        <v>44316</v>
      </c>
      <c r="D325" s="51">
        <f t="shared" si="14"/>
        <v>61.483699999999999</v>
      </c>
      <c r="E325" s="52"/>
      <c r="F325" s="53"/>
    </row>
    <row r="326" spans="1:6" x14ac:dyDescent="0.3">
      <c r="A326" s="48">
        <v>44308</v>
      </c>
      <c r="B326" s="49">
        <v>60.599299999999999</v>
      </c>
      <c r="C326" s="50">
        <f t="shared" si="13"/>
        <v>44316</v>
      </c>
      <c r="D326" s="51">
        <f t="shared" si="14"/>
        <v>61.483699999999999</v>
      </c>
      <c r="E326" s="52"/>
      <c r="F326" s="53"/>
    </row>
    <row r="327" spans="1:6" x14ac:dyDescent="0.3">
      <c r="A327" s="48">
        <v>44309</v>
      </c>
      <c r="B327" s="49">
        <v>60.867699999999999</v>
      </c>
      <c r="C327" s="50">
        <f t="shared" si="13"/>
        <v>44316</v>
      </c>
      <c r="D327" s="51">
        <f t="shared" si="14"/>
        <v>61.483699999999999</v>
      </c>
      <c r="E327" s="52"/>
      <c r="F327" s="53"/>
    </row>
    <row r="328" spans="1:6" x14ac:dyDescent="0.3">
      <c r="A328" s="48">
        <v>44312</v>
      </c>
      <c r="B328" s="49">
        <v>61.302399999999999</v>
      </c>
      <c r="C328" s="50">
        <f t="shared" si="13"/>
        <v>44316</v>
      </c>
      <c r="D328" s="51">
        <f t="shared" si="14"/>
        <v>61.483699999999999</v>
      </c>
      <c r="E328" s="52"/>
      <c r="F328" s="53"/>
    </row>
    <row r="329" spans="1:6" x14ac:dyDescent="0.3">
      <c r="A329" s="48">
        <v>44313</v>
      </c>
      <c r="B329" s="49">
        <v>62.540799999999997</v>
      </c>
      <c r="C329" s="50">
        <f t="shared" si="13"/>
        <v>44316</v>
      </c>
      <c r="D329" s="51">
        <f t="shared" si="14"/>
        <v>61.483699999999999</v>
      </c>
      <c r="E329" s="52"/>
      <c r="F329" s="53"/>
    </row>
    <row r="330" spans="1:6" x14ac:dyDescent="0.3">
      <c r="A330" s="48">
        <v>44314</v>
      </c>
      <c r="B330" s="49">
        <v>62.236400000000003</v>
      </c>
      <c r="C330" s="50">
        <f t="shared" si="13"/>
        <v>44316</v>
      </c>
      <c r="D330" s="51">
        <f t="shared" si="14"/>
        <v>61.483699999999999</v>
      </c>
      <c r="E330" s="52"/>
      <c r="F330" s="53"/>
    </row>
    <row r="331" spans="1:6" x14ac:dyDescent="0.3">
      <c r="A331" s="48">
        <v>44315</v>
      </c>
      <c r="B331" s="49">
        <v>61.9499</v>
      </c>
      <c r="C331" s="50">
        <f t="shared" si="13"/>
        <v>44316</v>
      </c>
      <c r="D331" s="51">
        <f t="shared" si="14"/>
        <v>61.483699999999999</v>
      </c>
      <c r="E331" s="52"/>
      <c r="F331" s="53"/>
    </row>
    <row r="332" spans="1:6" x14ac:dyDescent="0.3">
      <c r="A332" s="48">
        <v>44316</v>
      </c>
      <c r="B332" s="49">
        <v>61.483699999999999</v>
      </c>
      <c r="C332" s="50">
        <f t="shared" si="13"/>
        <v>44316</v>
      </c>
      <c r="D332" s="51">
        <f t="shared" si="14"/>
        <v>61.483699999999999</v>
      </c>
      <c r="E332" s="52"/>
      <c r="F332" s="53"/>
    </row>
    <row r="333" spans="1:6" x14ac:dyDescent="0.3">
      <c r="A333" s="48">
        <v>44319</v>
      </c>
      <c r="B333" s="49">
        <v>62.707500000000003</v>
      </c>
      <c r="C333" s="50">
        <f t="shared" si="13"/>
        <v>44347</v>
      </c>
      <c r="D333" s="51">
        <f t="shared" si="14"/>
        <v>68.411299999999997</v>
      </c>
      <c r="E333" s="52"/>
      <c r="F333" s="53"/>
    </row>
    <row r="334" spans="1:6" x14ac:dyDescent="0.3">
      <c r="A334" s="48">
        <v>44320</v>
      </c>
      <c r="B334" s="49">
        <v>62.767299999999999</v>
      </c>
      <c r="C334" s="50">
        <f t="shared" si="13"/>
        <v>44347</v>
      </c>
      <c r="D334" s="51">
        <f t="shared" si="14"/>
        <v>68.411299999999997</v>
      </c>
      <c r="E334" s="52"/>
      <c r="F334" s="53"/>
    </row>
    <row r="335" spans="1:6" x14ac:dyDescent="0.3">
      <c r="A335" s="48">
        <v>44321</v>
      </c>
      <c r="B335" s="49">
        <v>63.837499999999999</v>
      </c>
      <c r="C335" s="50">
        <f t="shared" si="13"/>
        <v>44347</v>
      </c>
      <c r="D335" s="51">
        <f t="shared" si="14"/>
        <v>68.411299999999997</v>
      </c>
      <c r="E335" s="52"/>
      <c r="F335" s="53"/>
    </row>
    <row r="336" spans="1:6" x14ac:dyDescent="0.3">
      <c r="A336" s="48">
        <v>44322</v>
      </c>
      <c r="B336" s="49">
        <v>64.716499999999996</v>
      </c>
      <c r="C336" s="50">
        <f t="shared" si="13"/>
        <v>44347</v>
      </c>
      <c r="D336" s="51">
        <f t="shared" si="14"/>
        <v>68.411299999999997</v>
      </c>
      <c r="E336" s="52"/>
      <c r="F336" s="53"/>
    </row>
    <row r="337" spans="1:6" x14ac:dyDescent="0.3">
      <c r="A337" s="48">
        <v>44323</v>
      </c>
      <c r="B337" s="49">
        <v>65.999300000000005</v>
      </c>
      <c r="C337" s="50">
        <f t="shared" si="13"/>
        <v>44347</v>
      </c>
      <c r="D337" s="51">
        <f t="shared" si="14"/>
        <v>68.411299999999997</v>
      </c>
      <c r="E337" s="52"/>
      <c r="F337" s="53"/>
    </row>
    <row r="338" spans="1:6" x14ac:dyDescent="0.3">
      <c r="A338" s="48">
        <v>44326</v>
      </c>
      <c r="B338" s="49">
        <v>67.145300000000006</v>
      </c>
      <c r="C338" s="50">
        <f t="shared" si="13"/>
        <v>44347</v>
      </c>
      <c r="D338" s="51">
        <f t="shared" si="14"/>
        <v>68.411299999999997</v>
      </c>
      <c r="E338" s="52"/>
      <c r="F338" s="53"/>
    </row>
    <row r="339" spans="1:6" x14ac:dyDescent="0.3">
      <c r="A339" s="48">
        <v>44327</v>
      </c>
      <c r="B339" s="49">
        <v>67.652100000000004</v>
      </c>
      <c r="C339" s="50">
        <f t="shared" si="13"/>
        <v>44347</v>
      </c>
      <c r="D339" s="51">
        <f t="shared" si="14"/>
        <v>68.411299999999997</v>
      </c>
      <c r="E339" s="52"/>
      <c r="F339" s="53"/>
    </row>
    <row r="340" spans="1:6" x14ac:dyDescent="0.3">
      <c r="A340" s="48">
        <v>44328</v>
      </c>
      <c r="B340" s="49">
        <v>67.541899999999998</v>
      </c>
      <c r="C340" s="50">
        <f t="shared" si="13"/>
        <v>44347</v>
      </c>
      <c r="D340" s="51">
        <f t="shared" si="14"/>
        <v>68.411299999999997</v>
      </c>
      <c r="E340" s="52"/>
      <c r="F340" s="53"/>
    </row>
    <row r="341" spans="1:6" x14ac:dyDescent="0.3">
      <c r="A341" s="48">
        <v>44330</v>
      </c>
      <c r="B341" s="49">
        <v>67.430700000000002</v>
      </c>
      <c r="C341" s="50">
        <f t="shared" si="13"/>
        <v>44347</v>
      </c>
      <c r="D341" s="51">
        <f t="shared" si="14"/>
        <v>68.411299999999997</v>
      </c>
      <c r="E341" s="52"/>
      <c r="F341" s="53"/>
    </row>
    <row r="342" spans="1:6" x14ac:dyDescent="0.3">
      <c r="A342" s="48">
        <v>44333</v>
      </c>
      <c r="B342" s="49">
        <v>67.495900000000006</v>
      </c>
      <c r="C342" s="50">
        <f t="shared" si="13"/>
        <v>44347</v>
      </c>
      <c r="D342" s="51">
        <f t="shared" si="14"/>
        <v>68.411299999999997</v>
      </c>
      <c r="E342" s="52"/>
      <c r="F342" s="53"/>
    </row>
    <row r="343" spans="1:6" x14ac:dyDescent="0.3">
      <c r="A343" s="48">
        <v>44334</v>
      </c>
      <c r="B343" s="49">
        <v>67.786500000000004</v>
      </c>
      <c r="C343" s="50">
        <f t="shared" si="13"/>
        <v>44347</v>
      </c>
      <c r="D343" s="51">
        <f t="shared" si="14"/>
        <v>68.411299999999997</v>
      </c>
      <c r="E343" s="52"/>
      <c r="F343" s="53"/>
    </row>
    <row r="344" spans="1:6" x14ac:dyDescent="0.3">
      <c r="A344" s="48">
        <v>44335</v>
      </c>
      <c r="B344" s="49">
        <v>67.667400000000001</v>
      </c>
      <c r="C344" s="50">
        <f t="shared" si="13"/>
        <v>44347</v>
      </c>
      <c r="D344" s="51">
        <f t="shared" si="14"/>
        <v>68.411299999999997</v>
      </c>
      <c r="E344" s="52"/>
      <c r="F344" s="53"/>
    </row>
    <row r="345" spans="1:6" x14ac:dyDescent="0.3">
      <c r="A345" s="48">
        <v>44336</v>
      </c>
      <c r="B345" s="49">
        <v>67.399199999999993</v>
      </c>
      <c r="C345" s="50">
        <f t="shared" si="13"/>
        <v>44347</v>
      </c>
      <c r="D345" s="51">
        <f t="shared" si="14"/>
        <v>68.411299999999997</v>
      </c>
      <c r="E345" s="52"/>
      <c r="F345" s="53"/>
    </row>
    <row r="346" spans="1:6" x14ac:dyDescent="0.3">
      <c r="A346" s="48">
        <v>44337</v>
      </c>
      <c r="B346" s="49">
        <v>67.542400000000001</v>
      </c>
      <c r="C346" s="50">
        <f t="shared" si="13"/>
        <v>44347</v>
      </c>
      <c r="D346" s="51">
        <f t="shared" si="14"/>
        <v>68.411299999999997</v>
      </c>
      <c r="E346" s="52"/>
      <c r="F346" s="53"/>
    </row>
    <row r="347" spans="1:6" x14ac:dyDescent="0.3">
      <c r="A347" s="48">
        <v>44340</v>
      </c>
      <c r="B347" s="49">
        <v>67.122900000000001</v>
      </c>
      <c r="C347" s="50">
        <f t="shared" si="13"/>
        <v>44347</v>
      </c>
      <c r="D347" s="51">
        <f t="shared" si="14"/>
        <v>68.411299999999997</v>
      </c>
      <c r="E347" s="52"/>
      <c r="F347" s="53"/>
    </row>
    <row r="348" spans="1:6" x14ac:dyDescent="0.3">
      <c r="A348" s="48">
        <v>44341</v>
      </c>
      <c r="B348" s="49">
        <v>67.278099999999995</v>
      </c>
      <c r="C348" s="50">
        <f t="shared" si="13"/>
        <v>44347</v>
      </c>
      <c r="D348" s="51">
        <f t="shared" si="14"/>
        <v>68.411299999999997</v>
      </c>
      <c r="E348" s="52"/>
      <c r="F348" s="53"/>
    </row>
    <row r="349" spans="1:6" x14ac:dyDescent="0.3">
      <c r="A349" s="48">
        <v>44342</v>
      </c>
      <c r="B349" s="49">
        <v>67.783600000000007</v>
      </c>
      <c r="C349" s="50">
        <f t="shared" si="13"/>
        <v>44347</v>
      </c>
      <c r="D349" s="51">
        <f t="shared" si="14"/>
        <v>68.411299999999997</v>
      </c>
      <c r="E349" s="52"/>
      <c r="F349" s="53"/>
    </row>
    <row r="350" spans="1:6" x14ac:dyDescent="0.3">
      <c r="A350" s="48">
        <v>44343</v>
      </c>
      <c r="B350" s="49">
        <v>67.532600000000002</v>
      </c>
      <c r="C350" s="50">
        <f t="shared" si="13"/>
        <v>44347</v>
      </c>
      <c r="D350" s="51">
        <f t="shared" si="14"/>
        <v>68.411299999999997</v>
      </c>
      <c r="E350" s="52"/>
      <c r="F350" s="53"/>
    </row>
    <row r="351" spans="1:6" x14ac:dyDescent="0.3">
      <c r="A351" s="48">
        <v>44344</v>
      </c>
      <c r="B351" s="49">
        <v>67.846900000000005</v>
      </c>
      <c r="C351" s="50">
        <f t="shared" si="13"/>
        <v>44347</v>
      </c>
      <c r="D351" s="51">
        <f t="shared" si="14"/>
        <v>68.411299999999997</v>
      </c>
      <c r="E351" s="52"/>
      <c r="F351" s="53"/>
    </row>
    <row r="352" spans="1:6" x14ac:dyDescent="0.3">
      <c r="A352" s="48">
        <v>44347</v>
      </c>
      <c r="B352" s="49">
        <v>68.411299999999997</v>
      </c>
      <c r="C352" s="50">
        <f t="shared" si="13"/>
        <v>44347</v>
      </c>
      <c r="D352" s="51">
        <f t="shared" si="14"/>
        <v>68.411299999999997</v>
      </c>
      <c r="E352" s="52"/>
      <c r="F352" s="53"/>
    </row>
    <row r="353" spans="1:6" x14ac:dyDescent="0.3">
      <c r="A353" s="48">
        <v>44348</v>
      </c>
      <c r="B353" s="49">
        <v>68.019300000000001</v>
      </c>
      <c r="C353" s="50">
        <f t="shared" si="13"/>
        <v>44377</v>
      </c>
      <c r="D353" s="51">
        <f t="shared" si="14"/>
        <v>70.886300000000006</v>
      </c>
      <c r="E353" s="52"/>
      <c r="F353" s="53"/>
    </row>
    <row r="354" spans="1:6" x14ac:dyDescent="0.3">
      <c r="A354" s="48">
        <v>44349</v>
      </c>
      <c r="B354" s="49">
        <v>68.501900000000006</v>
      </c>
      <c r="C354" s="50">
        <f t="shared" si="13"/>
        <v>44377</v>
      </c>
      <c r="D354" s="51">
        <f t="shared" si="14"/>
        <v>70.886300000000006</v>
      </c>
      <c r="E354" s="52"/>
      <c r="F354" s="53"/>
    </row>
    <row r="355" spans="1:6" x14ac:dyDescent="0.3">
      <c r="A355" s="48">
        <v>44350</v>
      </c>
      <c r="B355" s="49">
        <v>68.687600000000003</v>
      </c>
      <c r="C355" s="50">
        <f t="shared" si="13"/>
        <v>44377</v>
      </c>
      <c r="D355" s="51">
        <f t="shared" si="14"/>
        <v>70.886300000000006</v>
      </c>
      <c r="E355" s="52"/>
      <c r="F355" s="53"/>
    </row>
    <row r="356" spans="1:6" x14ac:dyDescent="0.3">
      <c r="A356" s="48">
        <v>44351</v>
      </c>
      <c r="B356" s="49">
        <v>68.891099999999994</v>
      </c>
      <c r="C356" s="50">
        <f t="shared" si="13"/>
        <v>44377</v>
      </c>
      <c r="D356" s="51">
        <f t="shared" si="14"/>
        <v>70.886300000000006</v>
      </c>
      <c r="E356" s="52"/>
      <c r="F356" s="53"/>
    </row>
    <row r="357" spans="1:6" x14ac:dyDescent="0.3">
      <c r="A357" s="48">
        <v>44354</v>
      </c>
      <c r="B357" s="49">
        <v>69.555300000000003</v>
      </c>
      <c r="C357" s="50">
        <f t="shared" si="13"/>
        <v>44377</v>
      </c>
      <c r="D357" s="51">
        <f t="shared" si="14"/>
        <v>70.886300000000006</v>
      </c>
      <c r="E357" s="52"/>
      <c r="F357" s="53"/>
    </row>
    <row r="358" spans="1:6" x14ac:dyDescent="0.3">
      <c r="A358" s="48">
        <v>44355</v>
      </c>
      <c r="B358" s="49">
        <v>69.566699999999997</v>
      </c>
      <c r="C358" s="50">
        <f t="shared" si="13"/>
        <v>44377</v>
      </c>
      <c r="D358" s="51">
        <f t="shared" si="14"/>
        <v>70.886300000000006</v>
      </c>
      <c r="E358" s="52"/>
      <c r="F358" s="53"/>
    </row>
    <row r="359" spans="1:6" x14ac:dyDescent="0.3">
      <c r="A359" s="48">
        <v>44356</v>
      </c>
      <c r="B359" s="49">
        <v>68.351100000000002</v>
      </c>
      <c r="C359" s="50">
        <f t="shared" si="13"/>
        <v>44377</v>
      </c>
      <c r="D359" s="51">
        <f t="shared" si="14"/>
        <v>70.886300000000006</v>
      </c>
      <c r="E359" s="52"/>
      <c r="F359" s="53"/>
    </row>
    <row r="360" spans="1:6" x14ac:dyDescent="0.3">
      <c r="A360" s="48">
        <v>44357</v>
      </c>
      <c r="B360" s="49">
        <v>68.917199999999994</v>
      </c>
      <c r="C360" s="50">
        <f t="shared" si="13"/>
        <v>44377</v>
      </c>
      <c r="D360" s="51">
        <f t="shared" si="14"/>
        <v>70.886300000000006</v>
      </c>
      <c r="E360" s="52"/>
      <c r="F360" s="53"/>
    </row>
    <row r="361" spans="1:6" x14ac:dyDescent="0.3">
      <c r="A361" s="48">
        <v>44358</v>
      </c>
      <c r="B361" s="49">
        <v>69.135599999999997</v>
      </c>
      <c r="C361" s="50">
        <f t="shared" si="13"/>
        <v>44377</v>
      </c>
      <c r="D361" s="51">
        <f t="shared" si="14"/>
        <v>70.886300000000006</v>
      </c>
      <c r="E361" s="52"/>
      <c r="F361" s="53"/>
    </row>
    <row r="362" spans="1:6" x14ac:dyDescent="0.3">
      <c r="A362" s="48">
        <v>44361</v>
      </c>
      <c r="B362" s="49">
        <v>68.464600000000004</v>
      </c>
      <c r="C362" s="50">
        <f t="shared" si="13"/>
        <v>44377</v>
      </c>
      <c r="D362" s="51">
        <f t="shared" si="14"/>
        <v>70.886300000000006</v>
      </c>
      <c r="E362" s="52"/>
      <c r="F362" s="53"/>
    </row>
    <row r="363" spans="1:6" x14ac:dyDescent="0.3">
      <c r="A363" s="48">
        <v>44362</v>
      </c>
      <c r="B363" s="49">
        <v>69.014099999999999</v>
      </c>
      <c r="C363" s="50">
        <f t="shared" si="13"/>
        <v>44377</v>
      </c>
      <c r="D363" s="51">
        <f t="shared" si="14"/>
        <v>70.886300000000006</v>
      </c>
      <c r="E363" s="52"/>
      <c r="F363" s="53"/>
    </row>
    <row r="364" spans="1:6" x14ac:dyDescent="0.3">
      <c r="A364" s="48">
        <v>44363</v>
      </c>
      <c r="B364" s="49">
        <v>69.702100000000002</v>
      </c>
      <c r="C364" s="50">
        <f t="shared" si="13"/>
        <v>44377</v>
      </c>
      <c r="D364" s="51">
        <f t="shared" si="14"/>
        <v>70.886300000000006</v>
      </c>
      <c r="E364" s="52"/>
      <c r="F364" s="53"/>
    </row>
    <row r="365" spans="1:6" x14ac:dyDescent="0.3">
      <c r="A365" s="48">
        <v>44364</v>
      </c>
      <c r="B365" s="49">
        <v>68.923500000000004</v>
      </c>
      <c r="C365" s="50">
        <f t="shared" si="13"/>
        <v>44377</v>
      </c>
      <c r="D365" s="51">
        <f t="shared" si="14"/>
        <v>70.886300000000006</v>
      </c>
      <c r="E365" s="52"/>
      <c r="F365" s="53"/>
    </row>
    <row r="366" spans="1:6" x14ac:dyDescent="0.3">
      <c r="A366" s="48">
        <v>44365</v>
      </c>
      <c r="B366" s="49">
        <v>68.870800000000003</v>
      </c>
      <c r="C366" s="50">
        <f t="shared" si="13"/>
        <v>44377</v>
      </c>
      <c r="D366" s="51">
        <f t="shared" si="14"/>
        <v>70.886300000000006</v>
      </c>
      <c r="E366" s="52"/>
      <c r="F366" s="53"/>
    </row>
    <row r="367" spans="1:6" x14ac:dyDescent="0.3">
      <c r="A367" s="48">
        <v>44368</v>
      </c>
      <c r="B367" s="49">
        <v>69.524600000000007</v>
      </c>
      <c r="C367" s="50">
        <f t="shared" si="13"/>
        <v>44377</v>
      </c>
      <c r="D367" s="51">
        <f t="shared" si="14"/>
        <v>70.886300000000006</v>
      </c>
      <c r="E367" s="52"/>
      <c r="F367" s="53"/>
    </row>
    <row r="368" spans="1:6" x14ac:dyDescent="0.3">
      <c r="A368" s="48">
        <v>44369</v>
      </c>
      <c r="B368" s="49">
        <v>70.700299999999999</v>
      </c>
      <c r="C368" s="50">
        <f t="shared" si="13"/>
        <v>44377</v>
      </c>
      <c r="D368" s="51">
        <f t="shared" si="14"/>
        <v>70.886300000000006</v>
      </c>
      <c r="E368" s="52"/>
      <c r="F368" s="53"/>
    </row>
    <row r="369" spans="1:6" x14ac:dyDescent="0.3">
      <c r="A369" s="48">
        <v>44370</v>
      </c>
      <c r="B369" s="49">
        <v>70.556899999999999</v>
      </c>
      <c r="C369" s="50">
        <f t="shared" si="13"/>
        <v>44377</v>
      </c>
      <c r="D369" s="51">
        <f t="shared" si="14"/>
        <v>70.886300000000006</v>
      </c>
      <c r="E369" s="52"/>
      <c r="F369" s="53"/>
    </row>
    <row r="370" spans="1:6" x14ac:dyDescent="0.3">
      <c r="A370" s="48">
        <v>44371</v>
      </c>
      <c r="B370" s="49">
        <v>70.466300000000004</v>
      </c>
      <c r="C370" s="50">
        <f t="shared" si="13"/>
        <v>44377</v>
      </c>
      <c r="D370" s="51">
        <f t="shared" si="14"/>
        <v>70.886300000000006</v>
      </c>
      <c r="E370" s="52"/>
      <c r="F370" s="53"/>
    </row>
    <row r="371" spans="1:6" x14ac:dyDescent="0.3">
      <c r="A371" s="48">
        <v>44372</v>
      </c>
      <c r="B371" s="49">
        <v>71.344899999999996</v>
      </c>
      <c r="C371" s="50">
        <f t="shared" si="13"/>
        <v>44377</v>
      </c>
      <c r="D371" s="51">
        <f t="shared" si="14"/>
        <v>70.886300000000006</v>
      </c>
      <c r="E371" s="52"/>
      <c r="F371" s="53"/>
    </row>
    <row r="372" spans="1:6" x14ac:dyDescent="0.3">
      <c r="A372" s="48">
        <v>44375</v>
      </c>
      <c r="B372" s="49">
        <v>71.089600000000004</v>
      </c>
      <c r="C372" s="50">
        <f t="shared" si="13"/>
        <v>44377</v>
      </c>
      <c r="D372" s="51">
        <f t="shared" si="14"/>
        <v>70.886300000000006</v>
      </c>
      <c r="E372" s="52"/>
      <c r="F372" s="53"/>
    </row>
    <row r="373" spans="1:6" x14ac:dyDescent="0.3">
      <c r="A373" s="48">
        <v>44376</v>
      </c>
      <c r="B373" s="49">
        <v>70.617900000000006</v>
      </c>
      <c r="C373" s="50">
        <f t="shared" si="13"/>
        <v>44377</v>
      </c>
      <c r="D373" s="51">
        <f t="shared" si="14"/>
        <v>70.886300000000006</v>
      </c>
      <c r="E373" s="52"/>
      <c r="F373" s="53"/>
    </row>
    <row r="374" spans="1:6" x14ac:dyDescent="0.3">
      <c r="A374" s="48">
        <v>44377</v>
      </c>
      <c r="B374" s="49">
        <v>70.886300000000006</v>
      </c>
      <c r="C374" s="50">
        <f t="shared" si="13"/>
        <v>44377</v>
      </c>
      <c r="D374" s="51">
        <f t="shared" si="14"/>
        <v>70.886300000000006</v>
      </c>
      <c r="E374" s="52"/>
      <c r="F374" s="53"/>
    </row>
    <row r="375" spans="1:6" x14ac:dyDescent="0.3">
      <c r="A375" s="48">
        <v>44378</v>
      </c>
      <c r="B375" s="49">
        <v>70.826800000000006</v>
      </c>
      <c r="C375" s="50">
        <f t="shared" si="13"/>
        <v>44408</v>
      </c>
      <c r="D375" s="51">
        <f t="shared" si="14"/>
        <v>74.050399999999996</v>
      </c>
      <c r="E375" s="52"/>
      <c r="F375" s="53"/>
    </row>
    <row r="376" spans="1:6" x14ac:dyDescent="0.3">
      <c r="A376" s="48">
        <v>44379</v>
      </c>
      <c r="B376" s="49">
        <v>71.367099999999994</v>
      </c>
      <c r="C376" s="50">
        <f t="shared" si="13"/>
        <v>44408</v>
      </c>
      <c r="D376" s="51">
        <f t="shared" si="14"/>
        <v>74.050399999999996</v>
      </c>
      <c r="E376" s="52"/>
      <c r="F376" s="53"/>
    </row>
    <row r="377" spans="1:6" x14ac:dyDescent="0.3">
      <c r="A377" s="48">
        <v>44382</v>
      </c>
      <c r="B377" s="49">
        <v>71.971599999999995</v>
      </c>
      <c r="C377" s="50">
        <f t="shared" si="13"/>
        <v>44408</v>
      </c>
      <c r="D377" s="51">
        <f t="shared" si="14"/>
        <v>74.050399999999996</v>
      </c>
      <c r="E377" s="52"/>
      <c r="F377" s="53"/>
    </row>
    <row r="378" spans="1:6" x14ac:dyDescent="0.3">
      <c r="A378" s="48">
        <v>44383</v>
      </c>
      <c r="B378" s="49">
        <v>71.875100000000003</v>
      </c>
      <c r="C378" s="50">
        <f t="shared" si="13"/>
        <v>44408</v>
      </c>
      <c r="D378" s="51">
        <f t="shared" si="14"/>
        <v>74.050399999999996</v>
      </c>
      <c r="E378" s="52"/>
      <c r="F378" s="53"/>
    </row>
    <row r="379" spans="1:6" x14ac:dyDescent="0.3">
      <c r="A379" s="48">
        <v>44384</v>
      </c>
      <c r="B379" s="49">
        <v>71.855900000000005</v>
      </c>
      <c r="C379" s="50">
        <f t="shared" si="13"/>
        <v>44408</v>
      </c>
      <c r="D379" s="51">
        <f t="shared" si="14"/>
        <v>74.050399999999996</v>
      </c>
      <c r="E379" s="52"/>
      <c r="F379" s="53"/>
    </row>
    <row r="380" spans="1:6" x14ac:dyDescent="0.3">
      <c r="A380" s="48">
        <v>44385</v>
      </c>
      <c r="B380" s="49">
        <v>71.657799999999995</v>
      </c>
      <c r="C380" s="50">
        <f t="shared" si="13"/>
        <v>44408</v>
      </c>
      <c r="D380" s="51">
        <f t="shared" si="14"/>
        <v>74.050399999999996</v>
      </c>
      <c r="E380" s="52"/>
      <c r="F380" s="53"/>
    </row>
    <row r="381" spans="1:6" x14ac:dyDescent="0.3">
      <c r="A381" s="48">
        <v>44386</v>
      </c>
      <c r="B381" s="49">
        <v>71.756600000000006</v>
      </c>
      <c r="C381" s="50">
        <f t="shared" si="13"/>
        <v>44408</v>
      </c>
      <c r="D381" s="51">
        <f t="shared" si="14"/>
        <v>74.050399999999996</v>
      </c>
      <c r="E381" s="52"/>
      <c r="F381" s="53"/>
    </row>
    <row r="382" spans="1:6" x14ac:dyDescent="0.3">
      <c r="A382" s="48">
        <v>44389</v>
      </c>
      <c r="B382" s="49">
        <v>72.112799999999993</v>
      </c>
      <c r="C382" s="50">
        <f t="shared" si="13"/>
        <v>44408</v>
      </c>
      <c r="D382" s="51">
        <f t="shared" si="14"/>
        <v>74.050399999999996</v>
      </c>
      <c r="E382" s="52"/>
      <c r="F382" s="53"/>
    </row>
    <row r="383" spans="1:6" x14ac:dyDescent="0.3">
      <c r="A383" s="48">
        <v>44390</v>
      </c>
      <c r="B383" s="49">
        <v>72.441400000000002</v>
      </c>
      <c r="C383" s="50">
        <f t="shared" si="13"/>
        <v>44408</v>
      </c>
      <c r="D383" s="51">
        <f t="shared" si="14"/>
        <v>74.050399999999996</v>
      </c>
      <c r="E383" s="52"/>
      <c r="F383" s="53"/>
    </row>
    <row r="384" spans="1:6" x14ac:dyDescent="0.3">
      <c r="A384" s="48">
        <v>44391</v>
      </c>
      <c r="B384" s="49">
        <v>72.834400000000002</v>
      </c>
      <c r="C384" s="50">
        <f t="shared" si="13"/>
        <v>44408</v>
      </c>
      <c r="D384" s="51">
        <f t="shared" si="14"/>
        <v>74.050399999999996</v>
      </c>
      <c r="E384" s="52"/>
      <c r="F384" s="53"/>
    </row>
    <row r="385" spans="1:6" x14ac:dyDescent="0.3">
      <c r="A385" s="48">
        <v>44392</v>
      </c>
      <c r="B385" s="49">
        <v>73.243799999999993</v>
      </c>
      <c r="C385" s="50">
        <f t="shared" si="13"/>
        <v>44408</v>
      </c>
      <c r="D385" s="51">
        <f t="shared" si="14"/>
        <v>74.050399999999996</v>
      </c>
      <c r="E385" s="52"/>
      <c r="F385" s="53"/>
    </row>
    <row r="386" spans="1:6" x14ac:dyDescent="0.3">
      <c r="A386" s="48">
        <v>44393</v>
      </c>
      <c r="B386" s="49">
        <v>73.335499999999996</v>
      </c>
      <c r="C386" s="50">
        <f t="shared" si="13"/>
        <v>44408</v>
      </c>
      <c r="D386" s="51">
        <f t="shared" si="14"/>
        <v>74.050399999999996</v>
      </c>
      <c r="E386" s="52"/>
      <c r="F386" s="53"/>
    </row>
    <row r="387" spans="1:6" x14ac:dyDescent="0.3">
      <c r="A387" s="48">
        <v>44396</v>
      </c>
      <c r="B387" s="49">
        <v>72.751199999999997</v>
      </c>
      <c r="C387" s="50">
        <f t="shared" ref="C387:C450" si="15">EOMONTH(A387,0)</f>
        <v>44408</v>
      </c>
      <c r="D387" s="51">
        <f t="shared" ref="D387:D450" si="16">INDEX($B$3:$B$2001, MATCH($C387, $A$3:$A$2001, 1))</f>
        <v>74.050399999999996</v>
      </c>
      <c r="E387" s="52"/>
      <c r="F387" s="53"/>
    </row>
    <row r="388" spans="1:6" x14ac:dyDescent="0.3">
      <c r="A388" s="48">
        <v>44397</v>
      </c>
      <c r="B388" s="49">
        <v>72.079099999999997</v>
      </c>
      <c r="C388" s="50">
        <f t="shared" si="15"/>
        <v>44408</v>
      </c>
      <c r="D388" s="51">
        <f t="shared" si="16"/>
        <v>74.050399999999996</v>
      </c>
      <c r="E388" s="52"/>
      <c r="F388" s="53"/>
    </row>
    <row r="389" spans="1:6" x14ac:dyDescent="0.3">
      <c r="A389" s="48">
        <v>44399</v>
      </c>
      <c r="B389" s="49">
        <v>72.297600000000003</v>
      </c>
      <c r="C389" s="50">
        <f t="shared" si="15"/>
        <v>44408</v>
      </c>
      <c r="D389" s="51">
        <f t="shared" si="16"/>
        <v>74.050399999999996</v>
      </c>
      <c r="E389" s="52"/>
      <c r="F389" s="53"/>
    </row>
    <row r="390" spans="1:6" x14ac:dyDescent="0.3">
      <c r="A390" s="48">
        <v>44400</v>
      </c>
      <c r="B390" s="49">
        <v>72.593299999999999</v>
      </c>
      <c r="C390" s="50">
        <f t="shared" si="15"/>
        <v>44408</v>
      </c>
      <c r="D390" s="51">
        <f t="shared" si="16"/>
        <v>74.050399999999996</v>
      </c>
      <c r="E390" s="52"/>
      <c r="F390" s="53"/>
    </row>
    <row r="391" spans="1:6" x14ac:dyDescent="0.3">
      <c r="A391" s="48">
        <v>44403</v>
      </c>
      <c r="B391" s="49">
        <v>72.971599999999995</v>
      </c>
      <c r="C391" s="50">
        <f t="shared" si="15"/>
        <v>44408</v>
      </c>
      <c r="D391" s="51">
        <f t="shared" si="16"/>
        <v>74.050399999999996</v>
      </c>
      <c r="E391" s="52"/>
      <c r="F391" s="53"/>
    </row>
    <row r="392" spans="1:6" x14ac:dyDescent="0.3">
      <c r="A392" s="48">
        <v>44404</v>
      </c>
      <c r="B392" s="49">
        <v>72.568799999999996</v>
      </c>
      <c r="C392" s="50">
        <f t="shared" si="15"/>
        <v>44408</v>
      </c>
      <c r="D392" s="51">
        <f t="shared" si="16"/>
        <v>74.050399999999996</v>
      </c>
      <c r="E392" s="52"/>
      <c r="F392" s="53"/>
    </row>
    <row r="393" spans="1:6" x14ac:dyDescent="0.3">
      <c r="A393" s="48">
        <v>44405</v>
      </c>
      <c r="B393" s="49">
        <v>72.679000000000002</v>
      </c>
      <c r="C393" s="50">
        <f t="shared" si="15"/>
        <v>44408</v>
      </c>
      <c r="D393" s="51">
        <f t="shared" si="16"/>
        <v>74.050399999999996</v>
      </c>
      <c r="E393" s="52"/>
      <c r="F393" s="53"/>
    </row>
    <row r="394" spans="1:6" x14ac:dyDescent="0.3">
      <c r="A394" s="48">
        <v>44406</v>
      </c>
      <c r="B394" s="49">
        <v>73.360500000000002</v>
      </c>
      <c r="C394" s="50">
        <f t="shared" si="15"/>
        <v>44408</v>
      </c>
      <c r="D394" s="51">
        <f t="shared" si="16"/>
        <v>74.050399999999996</v>
      </c>
      <c r="E394" s="52"/>
      <c r="F394" s="53"/>
    </row>
    <row r="395" spans="1:6" x14ac:dyDescent="0.3">
      <c r="A395" s="48">
        <v>44407</v>
      </c>
      <c r="B395" s="49">
        <v>74.050399999999996</v>
      </c>
      <c r="C395" s="50">
        <f t="shared" si="15"/>
        <v>44408</v>
      </c>
      <c r="D395" s="51">
        <f t="shared" si="16"/>
        <v>74.050399999999996</v>
      </c>
      <c r="E395" s="52"/>
      <c r="F395" s="53"/>
    </row>
    <row r="396" spans="1:6" x14ac:dyDescent="0.3">
      <c r="A396" s="48">
        <v>44410</v>
      </c>
      <c r="B396" s="49">
        <v>74.7821</v>
      </c>
      <c r="C396" s="50">
        <f t="shared" si="15"/>
        <v>44439</v>
      </c>
      <c r="D396" s="51">
        <f t="shared" si="16"/>
        <v>72.046899999999994</v>
      </c>
      <c r="E396" s="52"/>
      <c r="F396" s="53"/>
    </row>
    <row r="397" spans="1:6" x14ac:dyDescent="0.3">
      <c r="A397" s="48">
        <v>44411</v>
      </c>
      <c r="B397" s="49">
        <v>75.2453</v>
      </c>
      <c r="C397" s="50">
        <f t="shared" si="15"/>
        <v>44439</v>
      </c>
      <c r="D397" s="51">
        <f t="shared" si="16"/>
        <v>72.046899999999994</v>
      </c>
      <c r="E397" s="52"/>
      <c r="F397" s="53"/>
    </row>
    <row r="398" spans="1:6" x14ac:dyDescent="0.3">
      <c r="A398" s="48">
        <v>44412</v>
      </c>
      <c r="B398" s="49">
        <v>74.567099999999996</v>
      </c>
      <c r="C398" s="50">
        <f t="shared" si="15"/>
        <v>44439</v>
      </c>
      <c r="D398" s="51">
        <f t="shared" si="16"/>
        <v>72.046899999999994</v>
      </c>
      <c r="E398" s="52"/>
      <c r="F398" s="53"/>
    </row>
    <row r="399" spans="1:6" x14ac:dyDescent="0.3">
      <c r="A399" s="48">
        <v>44413</v>
      </c>
      <c r="B399" s="49">
        <v>74.391199999999998</v>
      </c>
      <c r="C399" s="50">
        <f t="shared" si="15"/>
        <v>44439</v>
      </c>
      <c r="D399" s="51">
        <f t="shared" si="16"/>
        <v>72.046899999999994</v>
      </c>
      <c r="E399" s="52"/>
      <c r="F399" s="53"/>
    </row>
    <row r="400" spans="1:6" x14ac:dyDescent="0.3">
      <c r="A400" s="48">
        <v>44414</v>
      </c>
      <c r="B400" s="49">
        <v>74.432100000000005</v>
      </c>
      <c r="C400" s="50">
        <f t="shared" si="15"/>
        <v>44439</v>
      </c>
      <c r="D400" s="51">
        <f t="shared" si="16"/>
        <v>72.046899999999994</v>
      </c>
      <c r="E400" s="52"/>
      <c r="F400" s="53"/>
    </row>
    <row r="401" spans="1:6" x14ac:dyDescent="0.3">
      <c r="A401" s="48">
        <v>44417</v>
      </c>
      <c r="B401" s="49">
        <v>73.504400000000004</v>
      </c>
      <c r="C401" s="50">
        <f t="shared" si="15"/>
        <v>44439</v>
      </c>
      <c r="D401" s="51">
        <f t="shared" si="16"/>
        <v>72.046899999999994</v>
      </c>
      <c r="E401" s="52"/>
      <c r="F401" s="53"/>
    </row>
    <row r="402" spans="1:6" x14ac:dyDescent="0.3">
      <c r="A402" s="48">
        <v>44418</v>
      </c>
      <c r="B402" s="49">
        <v>72.043999999999997</v>
      </c>
      <c r="C402" s="50">
        <f t="shared" si="15"/>
        <v>44439</v>
      </c>
      <c r="D402" s="51">
        <f t="shared" si="16"/>
        <v>72.046899999999994</v>
      </c>
      <c r="E402" s="52"/>
      <c r="F402" s="53"/>
    </row>
    <row r="403" spans="1:6" x14ac:dyDescent="0.3">
      <c r="A403" s="48">
        <v>44419</v>
      </c>
      <c r="B403" s="49">
        <v>72.252499999999998</v>
      </c>
      <c r="C403" s="50">
        <f t="shared" si="15"/>
        <v>44439</v>
      </c>
      <c r="D403" s="51">
        <f t="shared" si="16"/>
        <v>72.046899999999994</v>
      </c>
      <c r="E403" s="52"/>
      <c r="F403" s="53"/>
    </row>
    <row r="404" spans="1:6" x14ac:dyDescent="0.3">
      <c r="A404" s="48">
        <v>44420</v>
      </c>
      <c r="B404" s="49">
        <v>73.203000000000003</v>
      </c>
      <c r="C404" s="50">
        <f t="shared" si="15"/>
        <v>44439</v>
      </c>
      <c r="D404" s="51">
        <f t="shared" si="16"/>
        <v>72.046899999999994</v>
      </c>
      <c r="E404" s="52"/>
      <c r="F404" s="53"/>
    </row>
    <row r="405" spans="1:6" x14ac:dyDescent="0.3">
      <c r="A405" s="48">
        <v>44421</v>
      </c>
      <c r="B405" s="49">
        <v>73.051699999999997</v>
      </c>
      <c r="C405" s="50">
        <f t="shared" si="15"/>
        <v>44439</v>
      </c>
      <c r="D405" s="51">
        <f t="shared" si="16"/>
        <v>72.046899999999994</v>
      </c>
      <c r="E405" s="52"/>
      <c r="F405" s="53"/>
    </row>
    <row r="406" spans="1:6" x14ac:dyDescent="0.3">
      <c r="A406" s="48">
        <v>44424</v>
      </c>
      <c r="B406" s="49">
        <v>72.880799999999994</v>
      </c>
      <c r="C406" s="50">
        <f t="shared" si="15"/>
        <v>44439</v>
      </c>
      <c r="D406" s="51">
        <f t="shared" si="16"/>
        <v>72.046899999999994</v>
      </c>
      <c r="E406" s="52"/>
      <c r="F406" s="53"/>
    </row>
    <row r="407" spans="1:6" x14ac:dyDescent="0.3">
      <c r="A407" s="48">
        <v>44425</v>
      </c>
      <c r="B407" s="49">
        <v>72.0655</v>
      </c>
      <c r="C407" s="50">
        <f t="shared" si="15"/>
        <v>44439</v>
      </c>
      <c r="D407" s="51">
        <f t="shared" si="16"/>
        <v>72.046899999999994</v>
      </c>
      <c r="E407" s="52"/>
      <c r="F407" s="53"/>
    </row>
    <row r="408" spans="1:6" x14ac:dyDescent="0.3">
      <c r="A408" s="48">
        <v>44426</v>
      </c>
      <c r="B408" s="49">
        <v>71.589699999999993</v>
      </c>
      <c r="C408" s="50">
        <f t="shared" si="15"/>
        <v>44439</v>
      </c>
      <c r="D408" s="51">
        <f t="shared" si="16"/>
        <v>72.046899999999994</v>
      </c>
      <c r="E408" s="52"/>
      <c r="F408" s="53"/>
    </row>
    <row r="409" spans="1:6" x14ac:dyDescent="0.3">
      <c r="A409" s="48">
        <v>44428</v>
      </c>
      <c r="B409" s="49">
        <v>70.770099999999999</v>
      </c>
      <c r="C409" s="50">
        <f t="shared" si="15"/>
        <v>44439</v>
      </c>
      <c r="D409" s="51">
        <f t="shared" si="16"/>
        <v>72.046899999999994</v>
      </c>
      <c r="E409" s="52"/>
      <c r="F409" s="53"/>
    </row>
    <row r="410" spans="1:6" x14ac:dyDescent="0.3">
      <c r="A410" s="48">
        <v>44431</v>
      </c>
      <c r="B410" s="49">
        <v>70.062399999999997</v>
      </c>
      <c r="C410" s="50">
        <f t="shared" si="15"/>
        <v>44439</v>
      </c>
      <c r="D410" s="51">
        <f t="shared" si="16"/>
        <v>72.046899999999994</v>
      </c>
      <c r="E410" s="52"/>
      <c r="F410" s="53"/>
    </row>
    <row r="411" spans="1:6" x14ac:dyDescent="0.3">
      <c r="A411" s="48">
        <v>44432</v>
      </c>
      <c r="B411" s="49">
        <v>70.847300000000004</v>
      </c>
      <c r="C411" s="50">
        <f t="shared" si="15"/>
        <v>44439</v>
      </c>
      <c r="D411" s="51">
        <f t="shared" si="16"/>
        <v>72.046899999999994</v>
      </c>
      <c r="E411" s="52"/>
      <c r="F411" s="53"/>
    </row>
    <row r="412" spans="1:6" x14ac:dyDescent="0.3">
      <c r="A412" s="48">
        <v>44433</v>
      </c>
      <c r="B412" s="49">
        <v>70.832099999999997</v>
      </c>
      <c r="C412" s="50">
        <f t="shared" si="15"/>
        <v>44439</v>
      </c>
      <c r="D412" s="51">
        <f t="shared" si="16"/>
        <v>72.046899999999994</v>
      </c>
      <c r="E412" s="52"/>
      <c r="F412" s="53"/>
    </row>
    <row r="413" spans="1:6" x14ac:dyDescent="0.3">
      <c r="A413" s="48">
        <v>44434</v>
      </c>
      <c r="B413" s="49">
        <v>70.481499999999997</v>
      </c>
      <c r="C413" s="50">
        <f t="shared" si="15"/>
        <v>44439</v>
      </c>
      <c r="D413" s="51">
        <f t="shared" si="16"/>
        <v>72.046899999999994</v>
      </c>
      <c r="E413" s="52"/>
      <c r="F413" s="53"/>
    </row>
    <row r="414" spans="1:6" x14ac:dyDescent="0.3">
      <c r="A414" s="48">
        <v>44435</v>
      </c>
      <c r="B414" s="49">
        <v>71.090199999999996</v>
      </c>
      <c r="C414" s="50">
        <f t="shared" si="15"/>
        <v>44439</v>
      </c>
      <c r="D414" s="51">
        <f t="shared" si="16"/>
        <v>72.046899999999994</v>
      </c>
      <c r="E414" s="52"/>
      <c r="F414" s="53"/>
    </row>
    <row r="415" spans="1:6" x14ac:dyDescent="0.3">
      <c r="A415" s="48">
        <v>44438</v>
      </c>
      <c r="B415" s="49">
        <v>71.803200000000004</v>
      </c>
      <c r="C415" s="50">
        <f t="shared" si="15"/>
        <v>44439</v>
      </c>
      <c r="D415" s="51">
        <f t="shared" si="16"/>
        <v>72.046899999999994</v>
      </c>
      <c r="E415" s="52"/>
      <c r="F415" s="53"/>
    </row>
    <row r="416" spans="1:6" x14ac:dyDescent="0.3">
      <c r="A416" s="48">
        <v>44439</v>
      </c>
      <c r="B416" s="49">
        <v>72.046899999999994</v>
      </c>
      <c r="C416" s="50">
        <f t="shared" si="15"/>
        <v>44439</v>
      </c>
      <c r="D416" s="51">
        <f t="shared" si="16"/>
        <v>72.046899999999994</v>
      </c>
      <c r="E416" s="52"/>
      <c r="F416" s="53"/>
    </row>
    <row r="417" spans="1:6" x14ac:dyDescent="0.3">
      <c r="A417" s="48">
        <v>44440</v>
      </c>
      <c r="B417" s="49">
        <v>72.1721</v>
      </c>
      <c r="C417" s="50">
        <f t="shared" si="15"/>
        <v>44469</v>
      </c>
      <c r="D417" s="51">
        <f t="shared" si="16"/>
        <v>74.577699999999993</v>
      </c>
      <c r="E417" s="52"/>
      <c r="F417" s="53"/>
    </row>
    <row r="418" spans="1:6" x14ac:dyDescent="0.3">
      <c r="A418" s="48">
        <v>44441</v>
      </c>
      <c r="B418" s="49">
        <v>72.680599999999998</v>
      </c>
      <c r="C418" s="50">
        <f t="shared" si="15"/>
        <v>44469</v>
      </c>
      <c r="D418" s="51">
        <f t="shared" si="16"/>
        <v>74.577699999999993</v>
      </c>
      <c r="E418" s="52"/>
      <c r="F418" s="53"/>
    </row>
    <row r="419" spans="1:6" x14ac:dyDescent="0.3">
      <c r="A419" s="48">
        <v>44442</v>
      </c>
      <c r="B419" s="49">
        <v>72.631200000000007</v>
      </c>
      <c r="C419" s="50">
        <f t="shared" si="15"/>
        <v>44469</v>
      </c>
      <c r="D419" s="51">
        <f t="shared" si="16"/>
        <v>74.577699999999993</v>
      </c>
      <c r="E419" s="52"/>
      <c r="F419" s="53"/>
    </row>
    <row r="420" spans="1:6" x14ac:dyDescent="0.3">
      <c r="A420" s="48">
        <v>44445</v>
      </c>
      <c r="B420" s="49">
        <v>73.028300000000002</v>
      </c>
      <c r="C420" s="50">
        <f t="shared" si="15"/>
        <v>44469</v>
      </c>
      <c r="D420" s="51">
        <f t="shared" si="16"/>
        <v>74.577699999999993</v>
      </c>
      <c r="E420" s="52"/>
      <c r="F420" s="53"/>
    </row>
    <row r="421" spans="1:6" x14ac:dyDescent="0.3">
      <c r="A421" s="48">
        <v>44446</v>
      </c>
      <c r="B421" s="49">
        <v>73.044300000000007</v>
      </c>
      <c r="C421" s="50">
        <f t="shared" si="15"/>
        <v>44469</v>
      </c>
      <c r="D421" s="51">
        <f t="shared" si="16"/>
        <v>74.577699999999993</v>
      </c>
      <c r="E421" s="52"/>
      <c r="F421" s="53"/>
    </row>
    <row r="422" spans="1:6" x14ac:dyDescent="0.3">
      <c r="A422" s="48">
        <v>44447</v>
      </c>
      <c r="B422" s="49">
        <v>73.007599999999996</v>
      </c>
      <c r="C422" s="50">
        <f t="shared" si="15"/>
        <v>44469</v>
      </c>
      <c r="D422" s="51">
        <f t="shared" si="16"/>
        <v>74.577699999999993</v>
      </c>
      <c r="E422" s="52"/>
      <c r="F422" s="53"/>
    </row>
    <row r="423" spans="1:6" x14ac:dyDescent="0.3">
      <c r="A423" s="48">
        <v>44448</v>
      </c>
      <c r="B423" s="49">
        <v>73.036900000000003</v>
      </c>
      <c r="C423" s="50">
        <f t="shared" si="15"/>
        <v>44469</v>
      </c>
      <c r="D423" s="51">
        <f t="shared" si="16"/>
        <v>74.577699999999993</v>
      </c>
      <c r="E423" s="52"/>
      <c r="F423" s="53"/>
    </row>
    <row r="424" spans="1:6" x14ac:dyDescent="0.3">
      <c r="A424" s="48">
        <v>44452</v>
      </c>
      <c r="B424" s="49">
        <v>73.167299999999997</v>
      </c>
      <c r="C424" s="50">
        <f t="shared" si="15"/>
        <v>44469</v>
      </c>
      <c r="D424" s="51">
        <f t="shared" si="16"/>
        <v>74.577699999999993</v>
      </c>
      <c r="E424" s="52"/>
      <c r="F424" s="53"/>
    </row>
    <row r="425" spans="1:6" x14ac:dyDescent="0.3">
      <c r="A425" s="48">
        <v>44453</v>
      </c>
      <c r="B425" s="49">
        <v>73.267499999999998</v>
      </c>
      <c r="C425" s="50">
        <f t="shared" si="15"/>
        <v>44469</v>
      </c>
      <c r="D425" s="51">
        <f t="shared" si="16"/>
        <v>74.577699999999993</v>
      </c>
      <c r="E425" s="52"/>
      <c r="F425" s="53"/>
    </row>
    <row r="426" spans="1:6" x14ac:dyDescent="0.3">
      <c r="A426" s="48">
        <v>44454</v>
      </c>
      <c r="B426" s="49">
        <v>73.744100000000003</v>
      </c>
      <c r="C426" s="50">
        <f t="shared" si="15"/>
        <v>44469</v>
      </c>
      <c r="D426" s="51">
        <f t="shared" si="16"/>
        <v>74.577699999999993</v>
      </c>
      <c r="E426" s="52"/>
      <c r="F426" s="53"/>
    </row>
    <row r="427" spans="1:6" x14ac:dyDescent="0.3">
      <c r="A427" s="48">
        <v>44455</v>
      </c>
      <c r="B427" s="49">
        <v>74.037499999999994</v>
      </c>
      <c r="C427" s="50">
        <f t="shared" si="15"/>
        <v>44469</v>
      </c>
      <c r="D427" s="51">
        <f t="shared" si="16"/>
        <v>74.577699999999993</v>
      </c>
      <c r="E427" s="52"/>
      <c r="F427" s="53"/>
    </row>
    <row r="428" spans="1:6" x14ac:dyDescent="0.3">
      <c r="A428" s="48">
        <v>44456</v>
      </c>
      <c r="B428" s="49">
        <v>73.525899999999993</v>
      </c>
      <c r="C428" s="50">
        <f t="shared" si="15"/>
        <v>44469</v>
      </c>
      <c r="D428" s="51">
        <f t="shared" si="16"/>
        <v>74.577699999999993</v>
      </c>
      <c r="E428" s="52"/>
      <c r="F428" s="53"/>
    </row>
    <row r="429" spans="1:6" x14ac:dyDescent="0.3">
      <c r="A429" s="48">
        <v>44459</v>
      </c>
      <c r="B429" s="49">
        <v>72.977199999999996</v>
      </c>
      <c r="C429" s="50">
        <f t="shared" si="15"/>
        <v>44469</v>
      </c>
      <c r="D429" s="51">
        <f t="shared" si="16"/>
        <v>74.577699999999993</v>
      </c>
      <c r="E429" s="52"/>
      <c r="F429" s="53"/>
    </row>
    <row r="430" spans="1:6" x14ac:dyDescent="0.3">
      <c r="A430" s="48">
        <v>44460</v>
      </c>
      <c r="B430" s="49">
        <v>73.166600000000003</v>
      </c>
      <c r="C430" s="50">
        <f t="shared" si="15"/>
        <v>44469</v>
      </c>
      <c r="D430" s="51">
        <f t="shared" si="16"/>
        <v>74.577699999999993</v>
      </c>
      <c r="E430" s="52"/>
      <c r="F430" s="53"/>
    </row>
    <row r="431" spans="1:6" x14ac:dyDescent="0.3">
      <c r="A431" s="48">
        <v>44461</v>
      </c>
      <c r="B431" s="49">
        <v>73.721500000000006</v>
      </c>
      <c r="C431" s="50">
        <f t="shared" si="15"/>
        <v>44469</v>
      </c>
      <c r="D431" s="51">
        <f t="shared" si="16"/>
        <v>74.577699999999993</v>
      </c>
      <c r="E431" s="52"/>
      <c r="F431" s="53"/>
    </row>
    <row r="432" spans="1:6" x14ac:dyDescent="0.3">
      <c r="A432" s="48">
        <v>44462</v>
      </c>
      <c r="B432" s="49">
        <v>74.407499999999999</v>
      </c>
      <c r="C432" s="50">
        <f t="shared" si="15"/>
        <v>44469</v>
      </c>
      <c r="D432" s="51">
        <f t="shared" si="16"/>
        <v>74.577699999999993</v>
      </c>
      <c r="E432" s="52"/>
      <c r="F432" s="53"/>
    </row>
    <row r="433" spans="1:6" x14ac:dyDescent="0.3">
      <c r="A433" s="48">
        <v>44463</v>
      </c>
      <c r="B433" s="49">
        <v>74.493499999999997</v>
      </c>
      <c r="C433" s="50">
        <f t="shared" si="15"/>
        <v>44469</v>
      </c>
      <c r="D433" s="51">
        <f t="shared" si="16"/>
        <v>74.577699999999993</v>
      </c>
      <c r="E433" s="52"/>
      <c r="F433" s="53"/>
    </row>
    <row r="434" spans="1:6" x14ac:dyDescent="0.3">
      <c r="A434" s="48">
        <v>44466</v>
      </c>
      <c r="B434" s="49">
        <v>74.738699999999994</v>
      </c>
      <c r="C434" s="50">
        <f t="shared" si="15"/>
        <v>44469</v>
      </c>
      <c r="D434" s="51">
        <f t="shared" si="16"/>
        <v>74.577699999999993</v>
      </c>
      <c r="E434" s="52"/>
      <c r="F434" s="53"/>
    </row>
    <row r="435" spans="1:6" x14ac:dyDescent="0.3">
      <c r="A435" s="48">
        <v>44467</v>
      </c>
      <c r="B435" s="49">
        <v>74.313299999999998</v>
      </c>
      <c r="C435" s="50">
        <f t="shared" si="15"/>
        <v>44469</v>
      </c>
      <c r="D435" s="51">
        <f t="shared" si="16"/>
        <v>74.577699999999993</v>
      </c>
      <c r="E435" s="52"/>
      <c r="F435" s="53"/>
    </row>
    <row r="436" spans="1:6" x14ac:dyDescent="0.3">
      <c r="A436" s="48">
        <v>44468</v>
      </c>
      <c r="B436" s="49">
        <v>74.483500000000006</v>
      </c>
      <c r="C436" s="50">
        <f t="shared" si="15"/>
        <v>44469</v>
      </c>
      <c r="D436" s="51">
        <f t="shared" si="16"/>
        <v>74.577699999999993</v>
      </c>
      <c r="E436" s="52"/>
      <c r="F436" s="53"/>
    </row>
    <row r="437" spans="1:6" x14ac:dyDescent="0.3">
      <c r="A437" s="48">
        <v>44469</v>
      </c>
      <c r="B437" s="49">
        <v>74.577699999999993</v>
      </c>
      <c r="C437" s="50">
        <f t="shared" si="15"/>
        <v>44469</v>
      </c>
      <c r="D437" s="51">
        <f t="shared" si="16"/>
        <v>74.577699999999993</v>
      </c>
      <c r="E437" s="52"/>
      <c r="F437" s="53"/>
    </row>
    <row r="438" spans="1:6" x14ac:dyDescent="0.3">
      <c r="A438" s="48">
        <v>44470</v>
      </c>
      <c r="B438" s="49">
        <v>74.490700000000004</v>
      </c>
      <c r="C438" s="50">
        <f t="shared" si="15"/>
        <v>44500</v>
      </c>
      <c r="D438" s="51">
        <f t="shared" si="16"/>
        <v>76.333299999999994</v>
      </c>
      <c r="E438" s="52"/>
      <c r="F438" s="53"/>
    </row>
    <row r="439" spans="1:6" x14ac:dyDescent="0.3">
      <c r="A439" s="48">
        <v>44473</v>
      </c>
      <c r="B439" s="49">
        <v>75.087699999999998</v>
      </c>
      <c r="C439" s="50">
        <f t="shared" si="15"/>
        <v>44500</v>
      </c>
      <c r="D439" s="51">
        <f t="shared" si="16"/>
        <v>76.333299999999994</v>
      </c>
      <c r="E439" s="52"/>
      <c r="F439" s="53"/>
    </row>
    <row r="440" spans="1:6" x14ac:dyDescent="0.3">
      <c r="A440" s="48">
        <v>44474</v>
      </c>
      <c r="B440" s="49">
        <v>75.692800000000005</v>
      </c>
      <c r="C440" s="50">
        <f t="shared" si="15"/>
        <v>44500</v>
      </c>
      <c r="D440" s="51">
        <f t="shared" si="16"/>
        <v>76.333299999999994</v>
      </c>
      <c r="E440" s="52"/>
      <c r="F440" s="53"/>
    </row>
    <row r="441" spans="1:6" x14ac:dyDescent="0.3">
      <c r="A441" s="48">
        <v>44475</v>
      </c>
      <c r="B441" s="49">
        <v>74.734300000000005</v>
      </c>
      <c r="C441" s="50">
        <f t="shared" si="15"/>
        <v>44500</v>
      </c>
      <c r="D441" s="51">
        <f t="shared" si="16"/>
        <v>76.333299999999994</v>
      </c>
      <c r="E441" s="52"/>
      <c r="F441" s="53"/>
    </row>
    <row r="442" spans="1:6" x14ac:dyDescent="0.3">
      <c r="A442" s="48">
        <v>44476</v>
      </c>
      <c r="B442" s="49">
        <v>75.608999999999995</v>
      </c>
      <c r="C442" s="50">
        <f t="shared" si="15"/>
        <v>44500</v>
      </c>
      <c r="D442" s="51">
        <f t="shared" si="16"/>
        <v>76.333299999999994</v>
      </c>
      <c r="E442" s="52"/>
      <c r="F442" s="53"/>
    </row>
    <row r="443" spans="1:6" x14ac:dyDescent="0.3">
      <c r="A443" s="48">
        <v>44477</v>
      </c>
      <c r="B443" s="49">
        <v>76.092100000000002</v>
      </c>
      <c r="C443" s="50">
        <f t="shared" si="15"/>
        <v>44500</v>
      </c>
      <c r="D443" s="51">
        <f t="shared" si="16"/>
        <v>76.333299999999994</v>
      </c>
      <c r="E443" s="52"/>
      <c r="F443" s="53"/>
    </row>
    <row r="444" spans="1:6" x14ac:dyDescent="0.3">
      <c r="A444" s="48">
        <v>44480</v>
      </c>
      <c r="B444" s="49">
        <v>76.747200000000007</v>
      </c>
      <c r="C444" s="50">
        <f t="shared" si="15"/>
        <v>44500</v>
      </c>
      <c r="D444" s="51">
        <f t="shared" si="16"/>
        <v>76.333299999999994</v>
      </c>
      <c r="E444" s="52"/>
      <c r="F444" s="53"/>
    </row>
    <row r="445" spans="1:6" x14ac:dyDescent="0.3">
      <c r="A445" s="48">
        <v>44481</v>
      </c>
      <c r="B445" s="49">
        <v>77.074200000000005</v>
      </c>
      <c r="C445" s="50">
        <f t="shared" si="15"/>
        <v>44500</v>
      </c>
      <c r="D445" s="51">
        <f t="shared" si="16"/>
        <v>76.333299999999994</v>
      </c>
      <c r="E445" s="52"/>
      <c r="F445" s="53"/>
    </row>
    <row r="446" spans="1:6" x14ac:dyDescent="0.3">
      <c r="A446" s="48">
        <v>44482</v>
      </c>
      <c r="B446" s="49">
        <v>77.554900000000004</v>
      </c>
      <c r="C446" s="50">
        <f t="shared" si="15"/>
        <v>44500</v>
      </c>
      <c r="D446" s="51">
        <f t="shared" si="16"/>
        <v>76.333299999999994</v>
      </c>
      <c r="E446" s="52"/>
      <c r="F446" s="53"/>
    </row>
    <row r="447" spans="1:6" x14ac:dyDescent="0.3">
      <c r="A447" s="48">
        <v>44483</v>
      </c>
      <c r="B447" s="49">
        <v>78.665700000000001</v>
      </c>
      <c r="C447" s="50">
        <f t="shared" si="15"/>
        <v>44500</v>
      </c>
      <c r="D447" s="51">
        <f t="shared" si="16"/>
        <v>76.333299999999994</v>
      </c>
      <c r="E447" s="52"/>
      <c r="F447" s="53"/>
    </row>
    <row r="448" spans="1:6" x14ac:dyDescent="0.3">
      <c r="A448" s="48">
        <v>44487</v>
      </c>
      <c r="B448" s="49">
        <v>79.307199999999995</v>
      </c>
      <c r="C448" s="50">
        <f t="shared" si="15"/>
        <v>44500</v>
      </c>
      <c r="D448" s="51">
        <f t="shared" si="16"/>
        <v>76.333299999999994</v>
      </c>
      <c r="E448" s="52"/>
      <c r="F448" s="53"/>
    </row>
    <row r="449" spans="1:6" x14ac:dyDescent="0.3">
      <c r="A449" s="48">
        <v>44488</v>
      </c>
      <c r="B449" s="49">
        <v>78.358000000000004</v>
      </c>
      <c r="C449" s="50">
        <f t="shared" si="15"/>
        <v>44500</v>
      </c>
      <c r="D449" s="51">
        <f t="shared" si="16"/>
        <v>76.333299999999994</v>
      </c>
      <c r="E449" s="52"/>
      <c r="F449" s="53"/>
    </row>
    <row r="450" spans="1:6" x14ac:dyDescent="0.3">
      <c r="A450" s="48">
        <v>44489</v>
      </c>
      <c r="B450" s="49">
        <v>77.636200000000002</v>
      </c>
      <c r="C450" s="50">
        <f t="shared" si="15"/>
        <v>44500</v>
      </c>
      <c r="D450" s="51">
        <f t="shared" si="16"/>
        <v>76.333299999999994</v>
      </c>
      <c r="E450" s="52"/>
      <c r="F450" s="53"/>
    </row>
    <row r="451" spans="1:6" x14ac:dyDescent="0.3">
      <c r="A451" s="48">
        <v>44490</v>
      </c>
      <c r="B451" s="49">
        <v>77.759799999999998</v>
      </c>
      <c r="C451" s="50">
        <f t="shared" ref="C451:C514" si="17">EOMONTH(A451,0)</f>
        <v>44500</v>
      </c>
      <c r="D451" s="51">
        <f t="shared" ref="D451:D514" si="18">INDEX($B$3:$B$2001, MATCH($C451, $A$3:$A$2001, 1))</f>
        <v>76.333299999999994</v>
      </c>
      <c r="E451" s="52"/>
      <c r="F451" s="53"/>
    </row>
    <row r="452" spans="1:6" x14ac:dyDescent="0.3">
      <c r="A452" s="48">
        <v>44491</v>
      </c>
      <c r="B452" s="49">
        <v>77.248599999999996</v>
      </c>
      <c r="C452" s="50">
        <f t="shared" si="17"/>
        <v>44500</v>
      </c>
      <c r="D452" s="51">
        <f t="shared" si="18"/>
        <v>76.333299999999994</v>
      </c>
      <c r="E452" s="52"/>
      <c r="F452" s="53"/>
    </row>
    <row r="453" spans="1:6" x14ac:dyDescent="0.3">
      <c r="A453" s="48">
        <v>44494</v>
      </c>
      <c r="B453" s="49">
        <v>76.819800000000001</v>
      </c>
      <c r="C453" s="50">
        <f t="shared" si="17"/>
        <v>44500</v>
      </c>
      <c r="D453" s="51">
        <f t="shared" si="18"/>
        <v>76.333299999999994</v>
      </c>
      <c r="E453" s="52"/>
      <c r="F453" s="53"/>
    </row>
    <row r="454" spans="1:6" x14ac:dyDescent="0.3">
      <c r="A454" s="48">
        <v>44495</v>
      </c>
      <c r="B454" s="49">
        <v>77.947100000000006</v>
      </c>
      <c r="C454" s="50">
        <f t="shared" si="17"/>
        <v>44500</v>
      </c>
      <c r="D454" s="51">
        <f t="shared" si="18"/>
        <v>76.333299999999994</v>
      </c>
      <c r="E454" s="52"/>
      <c r="F454" s="53"/>
    </row>
    <row r="455" spans="1:6" x14ac:dyDescent="0.3">
      <c r="A455" s="48">
        <v>44496</v>
      </c>
      <c r="B455" s="49">
        <v>77.798199999999994</v>
      </c>
      <c r="C455" s="50">
        <f t="shared" si="17"/>
        <v>44500</v>
      </c>
      <c r="D455" s="51">
        <f t="shared" si="18"/>
        <v>76.333299999999994</v>
      </c>
      <c r="E455" s="52"/>
      <c r="F455" s="53"/>
    </row>
    <row r="456" spans="1:6" x14ac:dyDescent="0.3">
      <c r="A456" s="48">
        <v>44497</v>
      </c>
      <c r="B456" s="49">
        <v>76.527799999999999</v>
      </c>
      <c r="C456" s="50">
        <f t="shared" si="17"/>
        <v>44500</v>
      </c>
      <c r="D456" s="51">
        <f t="shared" si="18"/>
        <v>76.333299999999994</v>
      </c>
      <c r="E456" s="52"/>
      <c r="F456" s="53"/>
    </row>
    <row r="457" spans="1:6" x14ac:dyDescent="0.3">
      <c r="A457" s="48">
        <v>44498</v>
      </c>
      <c r="B457" s="49">
        <v>76.333299999999994</v>
      </c>
      <c r="C457" s="50">
        <f t="shared" si="17"/>
        <v>44500</v>
      </c>
      <c r="D457" s="51">
        <f t="shared" si="18"/>
        <v>76.333299999999994</v>
      </c>
      <c r="E457" s="52"/>
      <c r="F457" s="53"/>
    </row>
    <row r="458" spans="1:6" x14ac:dyDescent="0.3">
      <c r="A458" s="48">
        <v>44501</v>
      </c>
      <c r="B458" s="49">
        <v>76.9649</v>
      </c>
      <c r="C458" s="50">
        <f t="shared" si="17"/>
        <v>44530</v>
      </c>
      <c r="D458" s="51">
        <f t="shared" si="18"/>
        <v>76.696399999999997</v>
      </c>
      <c r="E458" s="52"/>
      <c r="F458" s="53"/>
    </row>
    <row r="459" spans="1:6" x14ac:dyDescent="0.3">
      <c r="A459" s="48">
        <v>44502</v>
      </c>
      <c r="B459" s="49">
        <v>77.512100000000004</v>
      </c>
      <c r="C459" s="50">
        <f t="shared" si="17"/>
        <v>44530</v>
      </c>
      <c r="D459" s="51">
        <f t="shared" si="18"/>
        <v>76.696399999999997</v>
      </c>
      <c r="E459" s="52"/>
      <c r="F459" s="53"/>
    </row>
    <row r="460" spans="1:6" x14ac:dyDescent="0.3">
      <c r="A460" s="48">
        <v>44503</v>
      </c>
      <c r="B460" s="49">
        <v>77.573099999999997</v>
      </c>
      <c r="C460" s="50">
        <f t="shared" si="17"/>
        <v>44530</v>
      </c>
      <c r="D460" s="51">
        <f t="shared" si="18"/>
        <v>76.696399999999997</v>
      </c>
      <c r="E460" s="52"/>
      <c r="F460" s="53"/>
    </row>
    <row r="461" spans="1:6" x14ac:dyDescent="0.3">
      <c r="A461" s="48">
        <v>44508</v>
      </c>
      <c r="B461" s="49">
        <v>79.356499999999997</v>
      </c>
      <c r="C461" s="50">
        <f t="shared" si="17"/>
        <v>44530</v>
      </c>
      <c r="D461" s="51">
        <f t="shared" si="18"/>
        <v>76.696399999999997</v>
      </c>
      <c r="E461" s="52"/>
      <c r="F461" s="53"/>
    </row>
    <row r="462" spans="1:6" x14ac:dyDescent="0.3">
      <c r="A462" s="48">
        <v>44509</v>
      </c>
      <c r="B462" s="49">
        <v>79.853499999999997</v>
      </c>
      <c r="C462" s="50">
        <f t="shared" si="17"/>
        <v>44530</v>
      </c>
      <c r="D462" s="51">
        <f t="shared" si="18"/>
        <v>76.696399999999997</v>
      </c>
      <c r="E462" s="52"/>
      <c r="F462" s="53"/>
    </row>
    <row r="463" spans="1:6" x14ac:dyDescent="0.3">
      <c r="A463" s="48">
        <v>44510</v>
      </c>
      <c r="B463" s="49">
        <v>79.7196</v>
      </c>
      <c r="C463" s="50">
        <f t="shared" si="17"/>
        <v>44530</v>
      </c>
      <c r="D463" s="51">
        <f t="shared" si="18"/>
        <v>76.696399999999997</v>
      </c>
      <c r="E463" s="52"/>
      <c r="F463" s="53"/>
    </row>
    <row r="464" spans="1:6" x14ac:dyDescent="0.3">
      <c r="A464" s="48">
        <v>44511</v>
      </c>
      <c r="B464" s="49">
        <v>79.587699999999998</v>
      </c>
      <c r="C464" s="50">
        <f t="shared" si="17"/>
        <v>44530</v>
      </c>
      <c r="D464" s="51">
        <f t="shared" si="18"/>
        <v>76.696399999999997</v>
      </c>
      <c r="E464" s="52"/>
      <c r="F464" s="53"/>
    </row>
    <row r="465" spans="1:6" x14ac:dyDescent="0.3">
      <c r="A465" s="48">
        <v>44512</v>
      </c>
      <c r="B465" s="49">
        <v>79.368399999999994</v>
      </c>
      <c r="C465" s="50">
        <f t="shared" si="17"/>
        <v>44530</v>
      </c>
      <c r="D465" s="51">
        <f t="shared" si="18"/>
        <v>76.696399999999997</v>
      </c>
      <c r="E465" s="52"/>
      <c r="F465" s="53"/>
    </row>
    <row r="466" spans="1:6" x14ac:dyDescent="0.3">
      <c r="A466" s="48">
        <v>44515</v>
      </c>
      <c r="B466" s="49">
        <v>79.084000000000003</v>
      </c>
      <c r="C466" s="50">
        <f t="shared" si="17"/>
        <v>44530</v>
      </c>
      <c r="D466" s="51">
        <f t="shared" si="18"/>
        <v>76.696399999999997</v>
      </c>
      <c r="E466" s="52"/>
      <c r="F466" s="53"/>
    </row>
    <row r="467" spans="1:6" x14ac:dyDescent="0.3">
      <c r="A467" s="48">
        <v>44516</v>
      </c>
      <c r="B467" s="49">
        <v>79.197000000000003</v>
      </c>
      <c r="C467" s="50">
        <f t="shared" si="17"/>
        <v>44530</v>
      </c>
      <c r="D467" s="51">
        <f t="shared" si="18"/>
        <v>76.696399999999997</v>
      </c>
      <c r="E467" s="52"/>
      <c r="F467" s="53"/>
    </row>
    <row r="468" spans="1:6" x14ac:dyDescent="0.3">
      <c r="A468" s="48">
        <v>44517</v>
      </c>
      <c r="B468" s="49">
        <v>79.731399999999994</v>
      </c>
      <c r="C468" s="50">
        <f t="shared" si="17"/>
        <v>44530</v>
      </c>
      <c r="D468" s="51">
        <f t="shared" si="18"/>
        <v>76.696399999999997</v>
      </c>
      <c r="E468" s="52"/>
      <c r="F468" s="53"/>
    </row>
    <row r="469" spans="1:6" x14ac:dyDescent="0.3">
      <c r="A469" s="48">
        <v>44518</v>
      </c>
      <c r="B469" s="49">
        <v>79.087999999999994</v>
      </c>
      <c r="C469" s="50">
        <f t="shared" si="17"/>
        <v>44530</v>
      </c>
      <c r="D469" s="51">
        <f t="shared" si="18"/>
        <v>76.696399999999997</v>
      </c>
      <c r="E469" s="52"/>
      <c r="F469" s="53"/>
    </row>
    <row r="470" spans="1:6" x14ac:dyDescent="0.3">
      <c r="A470" s="48">
        <v>44522</v>
      </c>
      <c r="B470" s="49">
        <v>77.371300000000005</v>
      </c>
      <c r="C470" s="50">
        <f t="shared" si="17"/>
        <v>44530</v>
      </c>
      <c r="D470" s="51">
        <f t="shared" si="18"/>
        <v>76.696399999999997</v>
      </c>
      <c r="E470" s="52"/>
      <c r="F470" s="53"/>
    </row>
    <row r="471" spans="1:6" x14ac:dyDescent="0.3">
      <c r="A471" s="48">
        <v>44523</v>
      </c>
      <c r="B471" s="49">
        <v>78.544700000000006</v>
      </c>
      <c r="C471" s="50">
        <f t="shared" si="17"/>
        <v>44530</v>
      </c>
      <c r="D471" s="51">
        <f t="shared" si="18"/>
        <v>76.696399999999997</v>
      </c>
      <c r="E471" s="52"/>
      <c r="F471" s="53"/>
    </row>
    <row r="472" spans="1:6" x14ac:dyDescent="0.3">
      <c r="A472" s="48">
        <v>44524</v>
      </c>
      <c r="B472" s="49">
        <v>78.304199999999994</v>
      </c>
      <c r="C472" s="50">
        <f t="shared" si="17"/>
        <v>44530</v>
      </c>
      <c r="D472" s="51">
        <f t="shared" si="18"/>
        <v>76.696399999999997</v>
      </c>
      <c r="E472" s="52"/>
      <c r="F472" s="53"/>
    </row>
    <row r="473" spans="1:6" x14ac:dyDescent="0.3">
      <c r="A473" s="48">
        <v>44525</v>
      </c>
      <c r="B473" s="49">
        <v>80.178299999999993</v>
      </c>
      <c r="C473" s="50">
        <f t="shared" si="17"/>
        <v>44530</v>
      </c>
      <c r="D473" s="51">
        <f t="shared" si="18"/>
        <v>76.696399999999997</v>
      </c>
      <c r="E473" s="52"/>
      <c r="F473" s="53"/>
    </row>
    <row r="474" spans="1:6" x14ac:dyDescent="0.3">
      <c r="A474" s="48">
        <v>44526</v>
      </c>
      <c r="B474" s="49">
        <v>78.092299999999994</v>
      </c>
      <c r="C474" s="50">
        <f t="shared" si="17"/>
        <v>44530</v>
      </c>
      <c r="D474" s="51">
        <f t="shared" si="18"/>
        <v>76.696399999999997</v>
      </c>
      <c r="E474" s="52"/>
      <c r="F474" s="53"/>
    </row>
    <row r="475" spans="1:6" x14ac:dyDescent="0.3">
      <c r="A475" s="48">
        <v>44529</v>
      </c>
      <c r="B475" s="49">
        <v>76.955600000000004</v>
      </c>
      <c r="C475" s="50">
        <f t="shared" si="17"/>
        <v>44530</v>
      </c>
      <c r="D475" s="51">
        <f t="shared" si="18"/>
        <v>76.696399999999997</v>
      </c>
      <c r="E475" s="52"/>
      <c r="F475" s="53"/>
    </row>
    <row r="476" spans="1:6" x14ac:dyDescent="0.3">
      <c r="A476" s="48">
        <v>44530</v>
      </c>
      <c r="B476" s="49">
        <v>76.696399999999997</v>
      </c>
      <c r="C476" s="50">
        <f t="shared" si="17"/>
        <v>44530</v>
      </c>
      <c r="D476" s="51">
        <f t="shared" si="18"/>
        <v>76.696399999999997</v>
      </c>
      <c r="E476" s="52"/>
      <c r="F476" s="53"/>
    </row>
    <row r="477" spans="1:6" x14ac:dyDescent="0.3">
      <c r="A477" s="48">
        <v>44531</v>
      </c>
      <c r="B477" s="49">
        <v>77.486000000000004</v>
      </c>
      <c r="C477" s="50">
        <f t="shared" si="17"/>
        <v>44561</v>
      </c>
      <c r="D477" s="51">
        <f t="shared" si="18"/>
        <v>79.413300000000007</v>
      </c>
      <c r="E477" s="52"/>
      <c r="F477" s="53"/>
    </row>
    <row r="478" spans="1:6" x14ac:dyDescent="0.3">
      <c r="A478" s="48">
        <v>44532</v>
      </c>
      <c r="B478" s="49">
        <v>78.236800000000002</v>
      </c>
      <c r="C478" s="50">
        <f t="shared" si="17"/>
        <v>44561</v>
      </c>
      <c r="D478" s="51">
        <f t="shared" si="18"/>
        <v>79.413300000000007</v>
      </c>
      <c r="E478" s="52"/>
      <c r="F478" s="53"/>
    </row>
    <row r="479" spans="1:6" x14ac:dyDescent="0.3">
      <c r="A479" s="48">
        <v>44533</v>
      </c>
      <c r="B479" s="49">
        <v>77.821100000000001</v>
      </c>
      <c r="C479" s="50">
        <f t="shared" si="17"/>
        <v>44561</v>
      </c>
      <c r="D479" s="51">
        <f t="shared" si="18"/>
        <v>79.413300000000007</v>
      </c>
      <c r="E479" s="52"/>
      <c r="F479" s="53"/>
    </row>
    <row r="480" spans="1:6" x14ac:dyDescent="0.3">
      <c r="A480" s="48">
        <v>44536</v>
      </c>
      <c r="B480" s="49">
        <v>77.257800000000003</v>
      </c>
      <c r="C480" s="50">
        <f t="shared" si="17"/>
        <v>44561</v>
      </c>
      <c r="D480" s="51">
        <f t="shared" si="18"/>
        <v>79.413300000000007</v>
      </c>
      <c r="E480" s="52"/>
      <c r="F480" s="53"/>
    </row>
    <row r="481" spans="1:6" x14ac:dyDescent="0.3">
      <c r="A481" s="48">
        <v>44537</v>
      </c>
      <c r="B481" s="49">
        <v>78.089200000000005</v>
      </c>
      <c r="C481" s="50">
        <f t="shared" si="17"/>
        <v>44561</v>
      </c>
      <c r="D481" s="51">
        <f t="shared" si="18"/>
        <v>79.413300000000007</v>
      </c>
      <c r="E481" s="52"/>
      <c r="F481" s="53"/>
    </row>
    <row r="482" spans="1:6" x14ac:dyDescent="0.3">
      <c r="A482" s="48">
        <v>44538</v>
      </c>
      <c r="B482" s="49">
        <v>79.108099999999993</v>
      </c>
      <c r="C482" s="50">
        <f t="shared" si="17"/>
        <v>44561</v>
      </c>
      <c r="D482" s="51">
        <f t="shared" si="18"/>
        <v>79.413300000000007</v>
      </c>
      <c r="E482" s="52"/>
      <c r="F482" s="53"/>
    </row>
    <row r="483" spans="1:6" x14ac:dyDescent="0.3">
      <c r="A483" s="48">
        <v>44539</v>
      </c>
      <c r="B483" s="49">
        <v>79.657600000000002</v>
      </c>
      <c r="C483" s="50">
        <f t="shared" si="17"/>
        <v>44561</v>
      </c>
      <c r="D483" s="51">
        <f t="shared" si="18"/>
        <v>79.413300000000007</v>
      </c>
      <c r="E483" s="52"/>
      <c r="F483" s="53"/>
    </row>
    <row r="484" spans="1:6" x14ac:dyDescent="0.3">
      <c r="A484" s="48">
        <v>44540</v>
      </c>
      <c r="B484" s="49">
        <v>81.503500000000003</v>
      </c>
      <c r="C484" s="50">
        <f t="shared" si="17"/>
        <v>44561</v>
      </c>
      <c r="D484" s="51">
        <f t="shared" si="18"/>
        <v>79.413300000000007</v>
      </c>
      <c r="E484" s="52"/>
      <c r="F484" s="53"/>
    </row>
    <row r="485" spans="1:6" x14ac:dyDescent="0.3">
      <c r="A485" s="48">
        <v>44543</v>
      </c>
      <c r="B485" s="49">
        <v>81.240799999999993</v>
      </c>
      <c r="C485" s="50">
        <f t="shared" si="17"/>
        <v>44561</v>
      </c>
      <c r="D485" s="51">
        <f t="shared" si="18"/>
        <v>79.413300000000007</v>
      </c>
      <c r="E485" s="52"/>
      <c r="F485" s="53"/>
    </row>
    <row r="486" spans="1:6" x14ac:dyDescent="0.3">
      <c r="A486" s="48">
        <v>44544</v>
      </c>
      <c r="B486" s="49">
        <v>80.780500000000004</v>
      </c>
      <c r="C486" s="50">
        <f t="shared" si="17"/>
        <v>44561</v>
      </c>
      <c r="D486" s="51">
        <f t="shared" si="18"/>
        <v>79.413300000000007</v>
      </c>
      <c r="E486" s="52"/>
      <c r="F486" s="53"/>
    </row>
    <row r="487" spans="1:6" x14ac:dyDescent="0.3">
      <c r="A487" s="48">
        <v>44545</v>
      </c>
      <c r="B487" s="49">
        <v>80.366500000000002</v>
      </c>
      <c r="C487" s="50">
        <f t="shared" si="17"/>
        <v>44561</v>
      </c>
      <c r="D487" s="51">
        <f t="shared" si="18"/>
        <v>79.413300000000007</v>
      </c>
      <c r="E487" s="52"/>
      <c r="F487" s="53"/>
    </row>
    <row r="488" spans="1:6" x14ac:dyDescent="0.3">
      <c r="A488" s="48">
        <v>44546</v>
      </c>
      <c r="B488" s="49">
        <v>79.738200000000006</v>
      </c>
      <c r="C488" s="50">
        <f t="shared" si="17"/>
        <v>44561</v>
      </c>
      <c r="D488" s="51">
        <f t="shared" si="18"/>
        <v>79.413300000000007</v>
      </c>
      <c r="E488" s="52"/>
      <c r="F488" s="53"/>
    </row>
    <row r="489" spans="1:6" x14ac:dyDescent="0.3">
      <c r="A489" s="48">
        <v>44547</v>
      </c>
      <c r="B489" s="49">
        <v>78.865700000000004</v>
      </c>
      <c r="C489" s="50">
        <f t="shared" si="17"/>
        <v>44561</v>
      </c>
      <c r="D489" s="51">
        <f t="shared" si="18"/>
        <v>79.413300000000007</v>
      </c>
      <c r="E489" s="52"/>
      <c r="F489" s="53"/>
    </row>
    <row r="490" spans="1:6" x14ac:dyDescent="0.3">
      <c r="A490" s="48">
        <v>44550</v>
      </c>
      <c r="B490" s="49">
        <v>76.552400000000006</v>
      </c>
      <c r="C490" s="50">
        <f t="shared" si="17"/>
        <v>44561</v>
      </c>
      <c r="D490" s="51">
        <f t="shared" si="18"/>
        <v>79.413300000000007</v>
      </c>
      <c r="E490" s="52"/>
      <c r="F490" s="53"/>
    </row>
    <row r="491" spans="1:6" x14ac:dyDescent="0.3">
      <c r="A491" s="48">
        <v>44551</v>
      </c>
      <c r="B491" s="49">
        <v>77.366100000000003</v>
      </c>
      <c r="C491" s="50">
        <f t="shared" si="17"/>
        <v>44561</v>
      </c>
      <c r="D491" s="51">
        <f t="shared" si="18"/>
        <v>79.413300000000007</v>
      </c>
      <c r="E491" s="52"/>
      <c r="F491" s="53"/>
    </row>
    <row r="492" spans="1:6" x14ac:dyDescent="0.3">
      <c r="A492" s="48">
        <v>44552</v>
      </c>
      <c r="B492" s="49">
        <v>78.497399999999999</v>
      </c>
      <c r="C492" s="50">
        <f t="shared" si="17"/>
        <v>44561</v>
      </c>
      <c r="D492" s="51">
        <f t="shared" si="18"/>
        <v>79.413300000000007</v>
      </c>
      <c r="E492" s="52"/>
      <c r="F492" s="53"/>
    </row>
    <row r="493" spans="1:6" x14ac:dyDescent="0.3">
      <c r="A493" s="48">
        <v>44553</v>
      </c>
      <c r="B493" s="49">
        <v>79.164299999999997</v>
      </c>
      <c r="C493" s="50">
        <f t="shared" si="17"/>
        <v>44561</v>
      </c>
      <c r="D493" s="51">
        <f t="shared" si="18"/>
        <v>79.413300000000007</v>
      </c>
      <c r="E493" s="52"/>
      <c r="F493" s="53"/>
    </row>
    <row r="494" spans="1:6" x14ac:dyDescent="0.3">
      <c r="A494" s="48">
        <v>44554</v>
      </c>
      <c r="B494" s="49">
        <v>78.623099999999994</v>
      </c>
      <c r="C494" s="50">
        <f t="shared" si="17"/>
        <v>44561</v>
      </c>
      <c r="D494" s="51">
        <f t="shared" si="18"/>
        <v>79.413300000000007</v>
      </c>
      <c r="E494" s="52"/>
      <c r="F494" s="53"/>
    </row>
    <row r="495" spans="1:6" x14ac:dyDescent="0.3">
      <c r="A495" s="48">
        <v>44557</v>
      </c>
      <c r="B495" s="49">
        <v>78.954800000000006</v>
      </c>
      <c r="C495" s="50">
        <f t="shared" si="17"/>
        <v>44561</v>
      </c>
      <c r="D495" s="51">
        <f t="shared" si="18"/>
        <v>79.413300000000007</v>
      </c>
      <c r="E495" s="52"/>
      <c r="F495" s="53"/>
    </row>
    <row r="496" spans="1:6" x14ac:dyDescent="0.3">
      <c r="A496" s="48">
        <v>44558</v>
      </c>
      <c r="B496" s="49">
        <v>79.663600000000002</v>
      </c>
      <c r="C496" s="50">
        <f t="shared" si="17"/>
        <v>44561</v>
      </c>
      <c r="D496" s="51">
        <f t="shared" si="18"/>
        <v>79.413300000000007</v>
      </c>
      <c r="E496" s="52"/>
      <c r="F496" s="53"/>
    </row>
    <row r="497" spans="1:6" x14ac:dyDescent="0.3">
      <c r="A497" s="48">
        <v>44559</v>
      </c>
      <c r="B497" s="49">
        <v>79.278599999999997</v>
      </c>
      <c r="C497" s="50">
        <f t="shared" si="17"/>
        <v>44561</v>
      </c>
      <c r="D497" s="51">
        <f t="shared" si="18"/>
        <v>79.413300000000007</v>
      </c>
      <c r="E497" s="52"/>
      <c r="F497" s="53"/>
    </row>
    <row r="498" spans="1:6" x14ac:dyDescent="0.3">
      <c r="A498" s="48">
        <v>44560</v>
      </c>
      <c r="B498" s="49">
        <v>78.843500000000006</v>
      </c>
      <c r="C498" s="50">
        <f t="shared" si="17"/>
        <v>44561</v>
      </c>
      <c r="D498" s="51">
        <f t="shared" si="18"/>
        <v>79.413300000000007</v>
      </c>
      <c r="E498" s="52"/>
      <c r="F498" s="53"/>
    </row>
    <row r="499" spans="1:6" x14ac:dyDescent="0.3">
      <c r="A499" s="48">
        <v>44561</v>
      </c>
      <c r="B499" s="49">
        <v>79.413300000000007</v>
      </c>
      <c r="C499" s="50">
        <f t="shared" si="17"/>
        <v>44561</v>
      </c>
      <c r="D499" s="51">
        <f t="shared" si="18"/>
        <v>79.413300000000007</v>
      </c>
      <c r="E499" s="52"/>
      <c r="F499" s="53"/>
    </row>
    <row r="500" spans="1:6" x14ac:dyDescent="0.3">
      <c r="A500" s="48">
        <v>44564</v>
      </c>
      <c r="B500" s="49">
        <v>80.262</v>
      </c>
      <c r="C500" s="50">
        <f t="shared" si="17"/>
        <v>44592</v>
      </c>
      <c r="D500" s="51">
        <f t="shared" si="18"/>
        <v>81.138000000000005</v>
      </c>
      <c r="E500" s="52"/>
      <c r="F500" s="53"/>
    </row>
    <row r="501" spans="1:6" x14ac:dyDescent="0.3">
      <c r="A501" s="48">
        <v>44565</v>
      </c>
      <c r="B501" s="49">
        <v>80.358800000000002</v>
      </c>
      <c r="C501" s="50">
        <f t="shared" si="17"/>
        <v>44592</v>
      </c>
      <c r="D501" s="51">
        <f t="shared" si="18"/>
        <v>81.138000000000005</v>
      </c>
      <c r="E501" s="52"/>
      <c r="F501" s="53"/>
    </row>
    <row r="502" spans="1:6" x14ac:dyDescent="0.3">
      <c r="A502" s="48">
        <v>44566</v>
      </c>
      <c r="B502" s="49">
        <v>81.082899999999995</v>
      </c>
      <c r="C502" s="50">
        <f t="shared" si="17"/>
        <v>44592</v>
      </c>
      <c r="D502" s="51">
        <f t="shared" si="18"/>
        <v>81.138000000000005</v>
      </c>
      <c r="E502" s="52"/>
      <c r="F502" s="53"/>
    </row>
    <row r="503" spans="1:6" x14ac:dyDescent="0.3">
      <c r="A503" s="48">
        <v>44567</v>
      </c>
      <c r="B503" s="49">
        <v>80.945099999999996</v>
      </c>
      <c r="C503" s="50">
        <f t="shared" si="17"/>
        <v>44592</v>
      </c>
      <c r="D503" s="51">
        <f t="shared" si="18"/>
        <v>81.138000000000005</v>
      </c>
      <c r="E503" s="52"/>
      <c r="F503" s="53"/>
    </row>
    <row r="504" spans="1:6" x14ac:dyDescent="0.3">
      <c r="A504" s="48">
        <v>44568</v>
      </c>
      <c r="B504" s="49">
        <v>81.260099999999994</v>
      </c>
      <c r="C504" s="50">
        <f t="shared" si="17"/>
        <v>44592</v>
      </c>
      <c r="D504" s="51">
        <f t="shared" si="18"/>
        <v>81.138000000000005</v>
      </c>
      <c r="E504" s="52"/>
      <c r="F504" s="53"/>
    </row>
    <row r="505" spans="1:6" x14ac:dyDescent="0.3">
      <c r="A505" s="48">
        <v>44571</v>
      </c>
      <c r="B505" s="49">
        <v>82.605599999999995</v>
      </c>
      <c r="C505" s="50">
        <f t="shared" si="17"/>
        <v>44592</v>
      </c>
      <c r="D505" s="51">
        <f t="shared" si="18"/>
        <v>81.138000000000005</v>
      </c>
      <c r="E505" s="52"/>
      <c r="F505" s="53"/>
    </row>
    <row r="506" spans="1:6" x14ac:dyDescent="0.3">
      <c r="A506" s="48">
        <v>44572</v>
      </c>
      <c r="B506" s="49">
        <v>82.891800000000003</v>
      </c>
      <c r="C506" s="50">
        <f t="shared" si="17"/>
        <v>44592</v>
      </c>
      <c r="D506" s="51">
        <f t="shared" si="18"/>
        <v>81.138000000000005</v>
      </c>
      <c r="E506" s="52"/>
      <c r="F506" s="53"/>
    </row>
    <row r="507" spans="1:6" x14ac:dyDescent="0.3">
      <c r="A507" s="48">
        <v>44573</v>
      </c>
      <c r="B507" s="49">
        <v>82.766999999999996</v>
      </c>
      <c r="C507" s="50">
        <f t="shared" si="17"/>
        <v>44592</v>
      </c>
      <c r="D507" s="51">
        <f t="shared" si="18"/>
        <v>81.138000000000005</v>
      </c>
      <c r="E507" s="52"/>
      <c r="F507" s="53"/>
    </row>
    <row r="508" spans="1:6" x14ac:dyDescent="0.3">
      <c r="A508" s="48">
        <v>44574</v>
      </c>
      <c r="B508" s="49">
        <v>83.116500000000002</v>
      </c>
      <c r="C508" s="50">
        <f t="shared" si="17"/>
        <v>44592</v>
      </c>
      <c r="D508" s="51">
        <f t="shared" si="18"/>
        <v>81.138000000000005</v>
      </c>
      <c r="E508" s="52"/>
      <c r="F508" s="53"/>
    </row>
    <row r="509" spans="1:6" x14ac:dyDescent="0.3">
      <c r="A509" s="48">
        <v>44575</v>
      </c>
      <c r="B509" s="49">
        <v>83.860699999999994</v>
      </c>
      <c r="C509" s="50">
        <f t="shared" si="17"/>
        <v>44592</v>
      </c>
      <c r="D509" s="51">
        <f t="shared" si="18"/>
        <v>81.138000000000005</v>
      </c>
      <c r="E509" s="52"/>
      <c r="F509" s="53"/>
    </row>
    <row r="510" spans="1:6" x14ac:dyDescent="0.3">
      <c r="A510" s="48">
        <v>44578</v>
      </c>
      <c r="B510" s="49">
        <v>84.365799999999993</v>
      </c>
      <c r="C510" s="50">
        <f t="shared" si="17"/>
        <v>44592</v>
      </c>
      <c r="D510" s="51">
        <f t="shared" si="18"/>
        <v>81.138000000000005</v>
      </c>
      <c r="E510" s="52"/>
      <c r="F510" s="53"/>
    </row>
    <row r="511" spans="1:6" x14ac:dyDescent="0.3">
      <c r="A511" s="48">
        <v>44579</v>
      </c>
      <c r="B511" s="49">
        <v>82.767399999999995</v>
      </c>
      <c r="C511" s="50">
        <f t="shared" si="17"/>
        <v>44592</v>
      </c>
      <c r="D511" s="51">
        <f t="shared" si="18"/>
        <v>81.138000000000005</v>
      </c>
      <c r="E511" s="52"/>
      <c r="F511" s="53"/>
    </row>
    <row r="512" spans="1:6" x14ac:dyDescent="0.3">
      <c r="A512" s="48">
        <v>44580</v>
      </c>
      <c r="B512" s="49">
        <v>82.589399999999998</v>
      </c>
      <c r="C512" s="50">
        <f t="shared" si="17"/>
        <v>44592</v>
      </c>
      <c r="D512" s="51">
        <f t="shared" si="18"/>
        <v>81.138000000000005</v>
      </c>
      <c r="E512" s="52"/>
      <c r="F512" s="53"/>
    </row>
    <row r="513" spans="1:6" x14ac:dyDescent="0.3">
      <c r="A513" s="48">
        <v>44581</v>
      </c>
      <c r="B513" s="49">
        <v>83.308400000000006</v>
      </c>
      <c r="C513" s="50">
        <f t="shared" si="17"/>
        <v>44592</v>
      </c>
      <c r="D513" s="51">
        <f t="shared" si="18"/>
        <v>81.138000000000005</v>
      </c>
      <c r="E513" s="52"/>
      <c r="F513" s="53"/>
    </row>
    <row r="514" spans="1:6" x14ac:dyDescent="0.3">
      <c r="A514" s="48">
        <v>44582</v>
      </c>
      <c r="B514" s="49">
        <v>82.191599999999994</v>
      </c>
      <c r="C514" s="50">
        <f t="shared" si="17"/>
        <v>44592</v>
      </c>
      <c r="D514" s="51">
        <f t="shared" si="18"/>
        <v>81.138000000000005</v>
      </c>
      <c r="E514" s="52"/>
      <c r="F514" s="53"/>
    </row>
    <row r="515" spans="1:6" x14ac:dyDescent="0.3">
      <c r="A515" s="48">
        <v>44585</v>
      </c>
      <c r="B515" s="49">
        <v>79.191400000000002</v>
      </c>
      <c r="C515" s="50">
        <f t="shared" ref="C515:C578" si="19">EOMONTH(A515,0)</f>
        <v>44592</v>
      </c>
      <c r="D515" s="51">
        <f t="shared" ref="D515:D578" si="20">INDEX($B$3:$B$2001, MATCH($C515, $A$3:$A$2001, 1))</f>
        <v>81.138000000000005</v>
      </c>
      <c r="E515" s="52"/>
      <c r="F515" s="53"/>
    </row>
    <row r="516" spans="1:6" x14ac:dyDescent="0.3">
      <c r="A516" s="48">
        <v>44586</v>
      </c>
      <c r="B516" s="49">
        <v>80.583500000000001</v>
      </c>
      <c r="C516" s="50">
        <f t="shared" si="19"/>
        <v>44592</v>
      </c>
      <c r="D516" s="51">
        <f t="shared" si="20"/>
        <v>81.138000000000005</v>
      </c>
      <c r="E516" s="52"/>
      <c r="F516" s="53"/>
    </row>
    <row r="517" spans="1:6" x14ac:dyDescent="0.3">
      <c r="A517" s="48">
        <v>44588</v>
      </c>
      <c r="B517" s="49">
        <v>80.344300000000004</v>
      </c>
      <c r="C517" s="50">
        <f t="shared" si="19"/>
        <v>44592</v>
      </c>
      <c r="D517" s="51">
        <f t="shared" si="20"/>
        <v>81.138000000000005</v>
      </c>
      <c r="E517" s="52"/>
      <c r="F517" s="53"/>
    </row>
    <row r="518" spans="1:6" x14ac:dyDescent="0.3">
      <c r="A518" s="48">
        <v>44589</v>
      </c>
      <c r="B518" s="49">
        <v>80.358800000000002</v>
      </c>
      <c r="C518" s="50">
        <f t="shared" si="19"/>
        <v>44592</v>
      </c>
      <c r="D518" s="51">
        <f t="shared" si="20"/>
        <v>81.138000000000005</v>
      </c>
      <c r="E518" s="52"/>
      <c r="F518" s="53"/>
    </row>
    <row r="519" spans="1:6" x14ac:dyDescent="0.3">
      <c r="A519" s="48">
        <v>44592</v>
      </c>
      <c r="B519" s="49">
        <v>81.138000000000005</v>
      </c>
      <c r="C519" s="50">
        <f t="shared" si="19"/>
        <v>44592</v>
      </c>
      <c r="D519" s="51">
        <f t="shared" si="20"/>
        <v>81.138000000000005</v>
      </c>
      <c r="E519" s="52"/>
      <c r="F519" s="53"/>
    </row>
    <row r="520" spans="1:6" x14ac:dyDescent="0.3">
      <c r="A520" s="48">
        <v>44593</v>
      </c>
      <c r="B520" s="49">
        <v>82.275199999999998</v>
      </c>
      <c r="C520" s="50">
        <f t="shared" si="19"/>
        <v>44620</v>
      </c>
      <c r="D520" s="51">
        <f t="shared" si="20"/>
        <v>76.705600000000004</v>
      </c>
      <c r="E520" s="52"/>
      <c r="F520" s="53"/>
    </row>
    <row r="521" spans="1:6" x14ac:dyDescent="0.3">
      <c r="A521" s="48">
        <v>44594</v>
      </c>
      <c r="B521" s="49">
        <v>83.206500000000005</v>
      </c>
      <c r="C521" s="50">
        <f t="shared" si="19"/>
        <v>44620</v>
      </c>
      <c r="D521" s="51">
        <f t="shared" si="20"/>
        <v>76.705600000000004</v>
      </c>
      <c r="E521" s="52"/>
      <c r="F521" s="53"/>
    </row>
    <row r="522" spans="1:6" x14ac:dyDescent="0.3">
      <c r="A522" s="48">
        <v>44595</v>
      </c>
      <c r="B522" s="49">
        <v>83.608900000000006</v>
      </c>
      <c r="C522" s="50">
        <f t="shared" si="19"/>
        <v>44620</v>
      </c>
      <c r="D522" s="51">
        <f t="shared" si="20"/>
        <v>76.705600000000004</v>
      </c>
      <c r="E522" s="52"/>
      <c r="F522" s="53"/>
    </row>
    <row r="523" spans="1:6" x14ac:dyDescent="0.3">
      <c r="A523" s="48">
        <v>44596</v>
      </c>
      <c r="B523" s="49">
        <v>83.659199999999998</v>
      </c>
      <c r="C523" s="50">
        <f t="shared" si="19"/>
        <v>44620</v>
      </c>
      <c r="D523" s="51">
        <f t="shared" si="20"/>
        <v>76.705600000000004</v>
      </c>
      <c r="E523" s="52"/>
      <c r="F523" s="53"/>
    </row>
    <row r="524" spans="1:6" x14ac:dyDescent="0.3">
      <c r="A524" s="48">
        <v>44599</v>
      </c>
      <c r="B524" s="49">
        <v>82.756399999999999</v>
      </c>
      <c r="C524" s="50">
        <f t="shared" si="19"/>
        <v>44620</v>
      </c>
      <c r="D524" s="51">
        <f t="shared" si="20"/>
        <v>76.705600000000004</v>
      </c>
      <c r="E524" s="52"/>
      <c r="F524" s="53"/>
    </row>
    <row r="525" spans="1:6" x14ac:dyDescent="0.3">
      <c r="A525" s="48">
        <v>44600</v>
      </c>
      <c r="B525" s="49">
        <v>82.108800000000002</v>
      </c>
      <c r="C525" s="50">
        <f t="shared" si="19"/>
        <v>44620</v>
      </c>
      <c r="D525" s="51">
        <f t="shared" si="20"/>
        <v>76.705600000000004</v>
      </c>
      <c r="E525" s="52"/>
      <c r="F525" s="53"/>
    </row>
    <row r="526" spans="1:6" x14ac:dyDescent="0.3">
      <c r="A526" s="48">
        <v>44601</v>
      </c>
      <c r="B526" s="49">
        <v>83.141000000000005</v>
      </c>
      <c r="C526" s="50">
        <f t="shared" si="19"/>
        <v>44620</v>
      </c>
      <c r="D526" s="51">
        <f t="shared" si="20"/>
        <v>76.705600000000004</v>
      </c>
      <c r="E526" s="52"/>
      <c r="F526" s="53"/>
    </row>
    <row r="527" spans="1:6" x14ac:dyDescent="0.3">
      <c r="A527" s="48">
        <v>44602</v>
      </c>
      <c r="B527" s="49">
        <v>83.715100000000007</v>
      </c>
      <c r="C527" s="50">
        <f t="shared" si="19"/>
        <v>44620</v>
      </c>
      <c r="D527" s="51">
        <f t="shared" si="20"/>
        <v>76.705600000000004</v>
      </c>
      <c r="E527" s="52"/>
      <c r="F527" s="53"/>
    </row>
    <row r="528" spans="1:6" x14ac:dyDescent="0.3">
      <c r="A528" s="48">
        <v>44603</v>
      </c>
      <c r="B528" s="49">
        <v>82.921300000000002</v>
      </c>
      <c r="C528" s="50">
        <f t="shared" si="19"/>
        <v>44620</v>
      </c>
      <c r="D528" s="51">
        <f t="shared" si="20"/>
        <v>76.705600000000004</v>
      </c>
      <c r="E528" s="52"/>
      <c r="F528" s="53"/>
    </row>
    <row r="529" spans="1:6" x14ac:dyDescent="0.3">
      <c r="A529" s="48">
        <v>44606</v>
      </c>
      <c r="B529" s="49">
        <v>79.820400000000006</v>
      </c>
      <c r="C529" s="50">
        <f t="shared" si="19"/>
        <v>44620</v>
      </c>
      <c r="D529" s="51">
        <f t="shared" si="20"/>
        <v>76.705600000000004</v>
      </c>
      <c r="E529" s="52"/>
      <c r="F529" s="53"/>
    </row>
    <row r="530" spans="1:6" x14ac:dyDescent="0.3">
      <c r="A530" s="48">
        <v>44607</v>
      </c>
      <c r="B530" s="49">
        <v>81.421800000000005</v>
      </c>
      <c r="C530" s="50">
        <f t="shared" si="19"/>
        <v>44620</v>
      </c>
      <c r="D530" s="51">
        <f t="shared" si="20"/>
        <v>76.705600000000004</v>
      </c>
      <c r="E530" s="52"/>
      <c r="F530" s="53"/>
    </row>
    <row r="531" spans="1:6" x14ac:dyDescent="0.3">
      <c r="A531" s="48">
        <v>44608</v>
      </c>
      <c r="B531" s="49">
        <v>81.245000000000005</v>
      </c>
      <c r="C531" s="50">
        <f t="shared" si="19"/>
        <v>44620</v>
      </c>
      <c r="D531" s="51">
        <f t="shared" si="20"/>
        <v>76.705600000000004</v>
      </c>
      <c r="E531" s="52"/>
      <c r="F531" s="53"/>
    </row>
    <row r="532" spans="1:6" x14ac:dyDescent="0.3">
      <c r="A532" s="48">
        <v>44609</v>
      </c>
      <c r="B532" s="49">
        <v>80.786799999999999</v>
      </c>
      <c r="C532" s="50">
        <f t="shared" si="19"/>
        <v>44620</v>
      </c>
      <c r="D532" s="51">
        <f t="shared" si="20"/>
        <v>76.705600000000004</v>
      </c>
      <c r="E532" s="52"/>
      <c r="F532" s="53"/>
    </row>
    <row r="533" spans="1:6" x14ac:dyDescent="0.3">
      <c r="A533" s="48">
        <v>44610</v>
      </c>
      <c r="B533" s="49">
        <v>80.378399999999999</v>
      </c>
      <c r="C533" s="50">
        <f t="shared" si="19"/>
        <v>44620</v>
      </c>
      <c r="D533" s="51">
        <f t="shared" si="20"/>
        <v>76.705600000000004</v>
      </c>
      <c r="E533" s="52"/>
      <c r="F533" s="53"/>
    </row>
    <row r="534" spans="1:6" x14ac:dyDescent="0.3">
      <c r="A534" s="48">
        <v>44613</v>
      </c>
      <c r="B534" s="49">
        <v>78.696600000000004</v>
      </c>
      <c r="C534" s="50">
        <f t="shared" si="19"/>
        <v>44620</v>
      </c>
      <c r="D534" s="51">
        <f t="shared" si="20"/>
        <v>76.705600000000004</v>
      </c>
      <c r="E534" s="52"/>
      <c r="F534" s="53"/>
    </row>
    <row r="535" spans="1:6" x14ac:dyDescent="0.3">
      <c r="A535" s="48">
        <v>44614</v>
      </c>
      <c r="B535" s="49">
        <v>77.212500000000006</v>
      </c>
      <c r="C535" s="50">
        <f t="shared" si="19"/>
        <v>44620</v>
      </c>
      <c r="D535" s="51">
        <f t="shared" si="20"/>
        <v>76.705600000000004</v>
      </c>
      <c r="E535" s="52"/>
      <c r="F535" s="53"/>
    </row>
    <row r="536" spans="1:6" x14ac:dyDescent="0.3">
      <c r="A536" s="48">
        <v>44615</v>
      </c>
      <c r="B536" s="49">
        <v>77.777000000000001</v>
      </c>
      <c r="C536" s="50">
        <f t="shared" si="19"/>
        <v>44620</v>
      </c>
      <c r="D536" s="51">
        <f t="shared" si="20"/>
        <v>76.705600000000004</v>
      </c>
      <c r="E536" s="52"/>
      <c r="F536" s="53"/>
    </row>
    <row r="537" spans="1:6" x14ac:dyDescent="0.3">
      <c r="A537" s="48">
        <v>44616</v>
      </c>
      <c r="B537" s="49">
        <v>74.107699999999994</v>
      </c>
      <c r="C537" s="50">
        <f t="shared" si="19"/>
        <v>44620</v>
      </c>
      <c r="D537" s="51">
        <f t="shared" si="20"/>
        <v>76.705600000000004</v>
      </c>
      <c r="E537" s="52"/>
      <c r="F537" s="53"/>
    </row>
    <row r="538" spans="1:6" x14ac:dyDescent="0.3">
      <c r="A538" s="48">
        <v>44617</v>
      </c>
      <c r="B538" s="49">
        <v>76.251999999999995</v>
      </c>
      <c r="C538" s="50">
        <f t="shared" si="19"/>
        <v>44620</v>
      </c>
      <c r="D538" s="51">
        <f t="shared" si="20"/>
        <v>76.705600000000004</v>
      </c>
      <c r="E538" s="52"/>
      <c r="F538" s="53"/>
    </row>
    <row r="539" spans="1:6" x14ac:dyDescent="0.3">
      <c r="A539" s="48">
        <v>44620</v>
      </c>
      <c r="B539" s="49">
        <v>76.705600000000004</v>
      </c>
      <c r="C539" s="50">
        <f t="shared" si="19"/>
        <v>44620</v>
      </c>
      <c r="D539" s="51">
        <f t="shared" si="20"/>
        <v>76.705600000000004</v>
      </c>
      <c r="E539" s="52"/>
      <c r="F539" s="53"/>
    </row>
    <row r="540" spans="1:6" x14ac:dyDescent="0.3">
      <c r="A540" s="48">
        <v>44622</v>
      </c>
      <c r="B540" s="49">
        <v>77.080600000000004</v>
      </c>
      <c r="C540" s="50">
        <f t="shared" si="19"/>
        <v>44651</v>
      </c>
      <c r="D540" s="51">
        <f t="shared" si="20"/>
        <v>82.869900000000001</v>
      </c>
      <c r="E540" s="52"/>
      <c r="F540" s="53"/>
    </row>
    <row r="541" spans="1:6" x14ac:dyDescent="0.3">
      <c r="A541" s="48">
        <v>44623</v>
      </c>
      <c r="B541" s="49">
        <v>77.297499999999999</v>
      </c>
      <c r="C541" s="50">
        <f t="shared" si="19"/>
        <v>44651</v>
      </c>
      <c r="D541" s="51">
        <f t="shared" si="20"/>
        <v>82.869900000000001</v>
      </c>
      <c r="E541" s="52"/>
      <c r="F541" s="53"/>
    </row>
    <row r="542" spans="1:6" x14ac:dyDescent="0.3">
      <c r="A542" s="48">
        <v>44624</v>
      </c>
      <c r="B542" s="49">
        <v>76.410799999999995</v>
      </c>
      <c r="C542" s="50">
        <f t="shared" si="19"/>
        <v>44651</v>
      </c>
      <c r="D542" s="51">
        <f t="shared" si="20"/>
        <v>82.869900000000001</v>
      </c>
      <c r="E542" s="52"/>
      <c r="F542" s="53"/>
    </row>
    <row r="543" spans="1:6" x14ac:dyDescent="0.3">
      <c r="A543" s="48">
        <v>44627</v>
      </c>
      <c r="B543" s="49">
        <v>75.120599999999996</v>
      </c>
      <c r="C543" s="50">
        <f t="shared" si="19"/>
        <v>44651</v>
      </c>
      <c r="D543" s="51">
        <f t="shared" si="20"/>
        <v>82.869900000000001</v>
      </c>
      <c r="E543" s="52"/>
      <c r="F543" s="53"/>
    </row>
    <row r="544" spans="1:6" x14ac:dyDescent="0.3">
      <c r="A544" s="48">
        <v>44628</v>
      </c>
      <c r="B544" s="49">
        <v>76.094200000000001</v>
      </c>
      <c r="C544" s="50">
        <f t="shared" si="19"/>
        <v>44651</v>
      </c>
      <c r="D544" s="51">
        <f t="shared" si="20"/>
        <v>82.869900000000001</v>
      </c>
      <c r="E544" s="52"/>
      <c r="F544" s="53"/>
    </row>
    <row r="545" spans="1:6" x14ac:dyDescent="0.3">
      <c r="A545" s="48">
        <v>44629</v>
      </c>
      <c r="B545" s="49">
        <v>77.623900000000006</v>
      </c>
      <c r="C545" s="50">
        <f t="shared" si="19"/>
        <v>44651</v>
      </c>
      <c r="D545" s="51">
        <f t="shared" si="20"/>
        <v>82.869900000000001</v>
      </c>
      <c r="E545" s="52"/>
      <c r="F545" s="53"/>
    </row>
    <row r="546" spans="1:6" x14ac:dyDescent="0.3">
      <c r="A546" s="48">
        <v>44630</v>
      </c>
      <c r="B546" s="49">
        <v>78.246899999999997</v>
      </c>
      <c r="C546" s="50">
        <f t="shared" si="19"/>
        <v>44651</v>
      </c>
      <c r="D546" s="51">
        <f t="shared" si="20"/>
        <v>82.869900000000001</v>
      </c>
      <c r="E546" s="52"/>
      <c r="F546" s="53"/>
    </row>
    <row r="547" spans="1:6" x14ac:dyDescent="0.3">
      <c r="A547" s="48">
        <v>44631</v>
      </c>
      <c r="B547" s="49">
        <v>78.422399999999996</v>
      </c>
      <c r="C547" s="50">
        <f t="shared" si="19"/>
        <v>44651</v>
      </c>
      <c r="D547" s="51">
        <f t="shared" si="20"/>
        <v>82.869900000000001</v>
      </c>
      <c r="E547" s="52"/>
      <c r="F547" s="53"/>
    </row>
    <row r="548" spans="1:6" x14ac:dyDescent="0.3">
      <c r="A548" s="48">
        <v>44634</v>
      </c>
      <c r="B548" s="49">
        <v>78.510999999999996</v>
      </c>
      <c r="C548" s="50">
        <f t="shared" si="19"/>
        <v>44651</v>
      </c>
      <c r="D548" s="51">
        <f t="shared" si="20"/>
        <v>82.869900000000001</v>
      </c>
      <c r="E548" s="52"/>
      <c r="F548" s="53"/>
    </row>
    <row r="549" spans="1:6" x14ac:dyDescent="0.3">
      <c r="A549" s="48">
        <v>44635</v>
      </c>
      <c r="B549" s="49">
        <v>77.722300000000004</v>
      </c>
      <c r="C549" s="50">
        <f t="shared" si="19"/>
        <v>44651</v>
      </c>
      <c r="D549" s="51">
        <f t="shared" si="20"/>
        <v>82.869900000000001</v>
      </c>
      <c r="E549" s="52"/>
      <c r="F549" s="53"/>
    </row>
    <row r="550" spans="1:6" x14ac:dyDescent="0.3">
      <c r="A550" s="48">
        <v>44636</v>
      </c>
      <c r="B550" s="49">
        <v>78.605099999999993</v>
      </c>
      <c r="C550" s="50">
        <f t="shared" si="19"/>
        <v>44651</v>
      </c>
      <c r="D550" s="51">
        <f t="shared" si="20"/>
        <v>82.869900000000001</v>
      </c>
      <c r="E550" s="52"/>
      <c r="F550" s="53"/>
    </row>
    <row r="551" spans="1:6" x14ac:dyDescent="0.3">
      <c r="A551" s="48">
        <v>44637</v>
      </c>
      <c r="B551" s="49">
        <v>79.765100000000004</v>
      </c>
      <c r="C551" s="50">
        <f t="shared" si="19"/>
        <v>44651</v>
      </c>
      <c r="D551" s="51">
        <f t="shared" si="20"/>
        <v>82.869900000000001</v>
      </c>
      <c r="E551" s="52"/>
      <c r="F551" s="53"/>
    </row>
    <row r="552" spans="1:6" x14ac:dyDescent="0.3">
      <c r="A552" s="48">
        <v>44641</v>
      </c>
      <c r="B552" s="49">
        <v>79.466800000000006</v>
      </c>
      <c r="C552" s="50">
        <f t="shared" si="19"/>
        <v>44651</v>
      </c>
      <c r="D552" s="51">
        <f t="shared" si="20"/>
        <v>82.869900000000001</v>
      </c>
      <c r="E552" s="52"/>
      <c r="F552" s="53"/>
    </row>
    <row r="553" spans="1:6" x14ac:dyDescent="0.3">
      <c r="A553" s="48">
        <v>44642</v>
      </c>
      <c r="B553" s="49">
        <v>79.938100000000006</v>
      </c>
      <c r="C553" s="50">
        <f t="shared" si="19"/>
        <v>44651</v>
      </c>
      <c r="D553" s="51">
        <f t="shared" si="20"/>
        <v>82.869900000000001</v>
      </c>
      <c r="E553" s="52"/>
      <c r="F553" s="53"/>
    </row>
    <row r="554" spans="1:6" x14ac:dyDescent="0.3">
      <c r="A554" s="48">
        <v>44643</v>
      </c>
      <c r="B554" s="49">
        <v>79.7303</v>
      </c>
      <c r="C554" s="50">
        <f t="shared" si="19"/>
        <v>44651</v>
      </c>
      <c r="D554" s="51">
        <f t="shared" si="20"/>
        <v>82.869900000000001</v>
      </c>
      <c r="E554" s="52"/>
      <c r="F554" s="53"/>
    </row>
    <row r="555" spans="1:6" x14ac:dyDescent="0.3">
      <c r="A555" s="48">
        <v>44644</v>
      </c>
      <c r="B555" s="49">
        <v>81.213300000000004</v>
      </c>
      <c r="C555" s="50">
        <f t="shared" si="19"/>
        <v>44651</v>
      </c>
      <c r="D555" s="51">
        <f t="shared" si="20"/>
        <v>82.869900000000001</v>
      </c>
      <c r="E555" s="52"/>
      <c r="F555" s="53"/>
    </row>
    <row r="556" spans="1:6" x14ac:dyDescent="0.3">
      <c r="A556" s="48">
        <v>44645</v>
      </c>
      <c r="B556" s="49">
        <v>81.317599999999999</v>
      </c>
      <c r="C556" s="50">
        <f t="shared" si="19"/>
        <v>44651</v>
      </c>
      <c r="D556" s="51">
        <f t="shared" si="20"/>
        <v>82.869900000000001</v>
      </c>
      <c r="E556" s="52"/>
      <c r="F556" s="53"/>
    </row>
    <row r="557" spans="1:6" x14ac:dyDescent="0.3">
      <c r="A557" s="48">
        <v>44648</v>
      </c>
      <c r="B557" s="49">
        <v>80.858699999999999</v>
      </c>
      <c r="C557" s="50">
        <f t="shared" si="19"/>
        <v>44651</v>
      </c>
      <c r="D557" s="51">
        <f t="shared" si="20"/>
        <v>82.869900000000001</v>
      </c>
      <c r="E557" s="52"/>
      <c r="F557" s="53"/>
    </row>
    <row r="558" spans="1:6" x14ac:dyDescent="0.3">
      <c r="A558" s="48">
        <v>44649</v>
      </c>
      <c r="B558" s="49">
        <v>81.957099999999997</v>
      </c>
      <c r="C558" s="50">
        <f t="shared" si="19"/>
        <v>44651</v>
      </c>
      <c r="D558" s="51">
        <f t="shared" si="20"/>
        <v>82.869900000000001</v>
      </c>
      <c r="E558" s="52"/>
      <c r="F558" s="53"/>
    </row>
    <row r="559" spans="1:6" x14ac:dyDescent="0.3">
      <c r="A559" s="48">
        <v>44650</v>
      </c>
      <c r="B559" s="49">
        <v>82.567700000000002</v>
      </c>
      <c r="C559" s="50">
        <f t="shared" si="19"/>
        <v>44651</v>
      </c>
      <c r="D559" s="51">
        <f t="shared" si="20"/>
        <v>82.869900000000001</v>
      </c>
      <c r="E559" s="52"/>
      <c r="F559" s="53"/>
    </row>
    <row r="560" spans="1:6" x14ac:dyDescent="0.3">
      <c r="A560" s="48">
        <v>44651</v>
      </c>
      <c r="B560" s="49">
        <v>82.869900000000001</v>
      </c>
      <c r="C560" s="50">
        <f t="shared" si="19"/>
        <v>44651</v>
      </c>
      <c r="D560" s="51">
        <f t="shared" si="20"/>
        <v>82.869900000000001</v>
      </c>
      <c r="E560" s="52"/>
      <c r="F560" s="53"/>
    </row>
    <row r="561" spans="1:6" x14ac:dyDescent="0.3">
      <c r="A561" s="48">
        <v>44652</v>
      </c>
      <c r="B561" s="49">
        <v>84.330299999999994</v>
      </c>
      <c r="C561" s="50">
        <f t="shared" si="19"/>
        <v>44681</v>
      </c>
      <c r="D561" s="51">
        <f t="shared" si="20"/>
        <v>85.196399999999997</v>
      </c>
      <c r="E561" s="52"/>
      <c r="F561" s="53"/>
    </row>
    <row r="562" spans="1:6" x14ac:dyDescent="0.3">
      <c r="A562" s="48">
        <v>44655</v>
      </c>
      <c r="B562" s="49">
        <v>85.220299999999995</v>
      </c>
      <c r="C562" s="50">
        <f t="shared" si="19"/>
        <v>44681</v>
      </c>
      <c r="D562" s="51">
        <f t="shared" si="20"/>
        <v>85.196399999999997</v>
      </c>
      <c r="E562" s="52"/>
      <c r="F562" s="53"/>
    </row>
    <row r="563" spans="1:6" x14ac:dyDescent="0.3">
      <c r="A563" s="48">
        <v>44656</v>
      </c>
      <c r="B563" s="49">
        <v>85.098399999999998</v>
      </c>
      <c r="C563" s="50">
        <f t="shared" si="19"/>
        <v>44681</v>
      </c>
      <c r="D563" s="51">
        <f t="shared" si="20"/>
        <v>85.196399999999997</v>
      </c>
      <c r="E563" s="52"/>
      <c r="F563" s="53"/>
    </row>
    <row r="564" spans="1:6" x14ac:dyDescent="0.3">
      <c r="A564" s="48">
        <v>44657</v>
      </c>
      <c r="B564" s="49">
        <v>85.173599999999993</v>
      </c>
      <c r="C564" s="50">
        <f t="shared" si="19"/>
        <v>44681</v>
      </c>
      <c r="D564" s="51">
        <f t="shared" si="20"/>
        <v>85.196399999999997</v>
      </c>
      <c r="E564" s="52"/>
      <c r="F564" s="53"/>
    </row>
    <row r="565" spans="1:6" x14ac:dyDescent="0.3">
      <c r="A565" s="48">
        <v>44658</v>
      </c>
      <c r="B565" s="49">
        <v>84.813299999999998</v>
      </c>
      <c r="C565" s="50">
        <f t="shared" si="19"/>
        <v>44681</v>
      </c>
      <c r="D565" s="51">
        <f t="shared" si="20"/>
        <v>85.196399999999997</v>
      </c>
      <c r="E565" s="52"/>
      <c r="F565" s="53"/>
    </row>
    <row r="566" spans="1:6" x14ac:dyDescent="0.3">
      <c r="A566" s="48">
        <v>44659</v>
      </c>
      <c r="B566" s="49">
        <v>86.091700000000003</v>
      </c>
      <c r="C566" s="50">
        <f t="shared" si="19"/>
        <v>44681</v>
      </c>
      <c r="D566" s="51">
        <f t="shared" si="20"/>
        <v>85.196399999999997</v>
      </c>
      <c r="E566" s="52"/>
      <c r="F566" s="53"/>
    </row>
    <row r="567" spans="1:6" x14ac:dyDescent="0.3">
      <c r="A567" s="48">
        <v>44662</v>
      </c>
      <c r="B567" s="49">
        <v>86.836600000000004</v>
      </c>
      <c r="C567" s="50">
        <f t="shared" si="19"/>
        <v>44681</v>
      </c>
      <c r="D567" s="51">
        <f t="shared" si="20"/>
        <v>85.196399999999997</v>
      </c>
      <c r="E567" s="52"/>
      <c r="F567" s="53"/>
    </row>
    <row r="568" spans="1:6" x14ac:dyDescent="0.3">
      <c r="A568" s="48">
        <v>44663</v>
      </c>
      <c r="B568" s="49">
        <v>86.425299999999993</v>
      </c>
      <c r="C568" s="50">
        <f t="shared" si="19"/>
        <v>44681</v>
      </c>
      <c r="D568" s="51">
        <f t="shared" si="20"/>
        <v>85.196399999999997</v>
      </c>
      <c r="E568" s="52"/>
      <c r="F568" s="53"/>
    </row>
    <row r="569" spans="1:6" x14ac:dyDescent="0.3">
      <c r="A569" s="48">
        <v>44664</v>
      </c>
      <c r="B569" s="49">
        <v>87.077100000000002</v>
      </c>
      <c r="C569" s="50">
        <f t="shared" si="19"/>
        <v>44681</v>
      </c>
      <c r="D569" s="51">
        <f t="shared" si="20"/>
        <v>85.196399999999997</v>
      </c>
      <c r="E569" s="52"/>
      <c r="F569" s="53"/>
    </row>
    <row r="570" spans="1:6" x14ac:dyDescent="0.3">
      <c r="A570" s="48">
        <v>44669</v>
      </c>
      <c r="B570" s="49">
        <v>86.798000000000002</v>
      </c>
      <c r="C570" s="50">
        <f t="shared" si="19"/>
        <v>44681</v>
      </c>
      <c r="D570" s="51">
        <f t="shared" si="20"/>
        <v>85.196399999999997</v>
      </c>
      <c r="E570" s="52"/>
      <c r="F570" s="53"/>
    </row>
    <row r="571" spans="1:6" x14ac:dyDescent="0.3">
      <c r="A571" s="48">
        <v>44670</v>
      </c>
      <c r="B571" s="49">
        <v>86.014899999999997</v>
      </c>
      <c r="C571" s="50">
        <f t="shared" si="19"/>
        <v>44681</v>
      </c>
      <c r="D571" s="51">
        <f t="shared" si="20"/>
        <v>85.196399999999997</v>
      </c>
      <c r="E571" s="52"/>
      <c r="F571" s="53"/>
    </row>
    <row r="572" spans="1:6" x14ac:dyDescent="0.3">
      <c r="A572" s="48">
        <v>44671</v>
      </c>
      <c r="B572" s="49">
        <v>85.873599999999996</v>
      </c>
      <c r="C572" s="50">
        <f t="shared" si="19"/>
        <v>44681</v>
      </c>
      <c r="D572" s="51">
        <f t="shared" si="20"/>
        <v>85.196399999999997</v>
      </c>
      <c r="E572" s="52"/>
      <c r="F572" s="53"/>
    </row>
    <row r="573" spans="1:6" x14ac:dyDescent="0.3">
      <c r="A573" s="48">
        <v>44672</v>
      </c>
      <c r="B573" s="49">
        <v>86.830799999999996</v>
      </c>
      <c r="C573" s="50">
        <f t="shared" si="19"/>
        <v>44681</v>
      </c>
      <c r="D573" s="51">
        <f t="shared" si="20"/>
        <v>85.196399999999997</v>
      </c>
      <c r="E573" s="52"/>
      <c r="F573" s="53"/>
    </row>
    <row r="574" spans="1:6" x14ac:dyDescent="0.3">
      <c r="A574" s="48">
        <v>44673</v>
      </c>
      <c r="B574" s="49">
        <v>86.132800000000003</v>
      </c>
      <c r="C574" s="50">
        <f t="shared" si="19"/>
        <v>44681</v>
      </c>
      <c r="D574" s="51">
        <f t="shared" si="20"/>
        <v>85.196399999999997</v>
      </c>
      <c r="E574" s="52"/>
      <c r="F574" s="53"/>
    </row>
    <row r="575" spans="1:6" x14ac:dyDescent="0.3">
      <c r="A575" s="48">
        <v>44676</v>
      </c>
      <c r="B575" s="49">
        <v>84.6614</v>
      </c>
      <c r="C575" s="50">
        <f t="shared" si="19"/>
        <v>44681</v>
      </c>
      <c r="D575" s="51">
        <f t="shared" si="20"/>
        <v>85.196399999999997</v>
      </c>
      <c r="E575" s="52"/>
      <c r="F575" s="53"/>
    </row>
    <row r="576" spans="1:6" x14ac:dyDescent="0.3">
      <c r="A576" s="48">
        <v>44677</v>
      </c>
      <c r="B576" s="49">
        <v>86.430099999999996</v>
      </c>
      <c r="C576" s="50">
        <f t="shared" si="19"/>
        <v>44681</v>
      </c>
      <c r="D576" s="51">
        <f t="shared" si="20"/>
        <v>85.196399999999997</v>
      </c>
      <c r="E576" s="52"/>
      <c r="F576" s="53"/>
    </row>
    <row r="577" spans="1:6" x14ac:dyDescent="0.3">
      <c r="A577" s="48">
        <v>44678</v>
      </c>
      <c r="B577" s="49">
        <v>86.7423</v>
      </c>
      <c r="C577" s="50">
        <f t="shared" si="19"/>
        <v>44681</v>
      </c>
      <c r="D577" s="51">
        <f t="shared" si="20"/>
        <v>85.196399999999997</v>
      </c>
      <c r="E577" s="52"/>
      <c r="F577" s="53"/>
    </row>
    <row r="578" spans="1:6" x14ac:dyDescent="0.3">
      <c r="A578" s="48">
        <v>44679</v>
      </c>
      <c r="B578" s="49">
        <v>86.080100000000002</v>
      </c>
      <c r="C578" s="50">
        <f t="shared" si="19"/>
        <v>44681</v>
      </c>
      <c r="D578" s="51">
        <f t="shared" si="20"/>
        <v>85.196399999999997</v>
      </c>
      <c r="E578" s="52"/>
      <c r="F578" s="53"/>
    </row>
    <row r="579" spans="1:6" x14ac:dyDescent="0.3">
      <c r="A579" s="48">
        <v>44680</v>
      </c>
      <c r="B579" s="49">
        <v>85.196399999999997</v>
      </c>
      <c r="C579" s="50">
        <f t="shared" ref="C579:C642" si="21">EOMONTH(A579,0)</f>
        <v>44681</v>
      </c>
      <c r="D579" s="51">
        <f t="shared" ref="D579:D642" si="22">INDEX($B$3:$B$2001, MATCH($C579, $A$3:$A$2001, 1))</f>
        <v>85.196399999999997</v>
      </c>
      <c r="E579" s="52"/>
      <c r="F579" s="53"/>
    </row>
    <row r="580" spans="1:6" x14ac:dyDescent="0.3">
      <c r="A580" s="48">
        <v>44683</v>
      </c>
      <c r="B580" s="49">
        <v>84.335599999999999</v>
      </c>
      <c r="C580" s="50">
        <f t="shared" si="21"/>
        <v>44712</v>
      </c>
      <c r="D580" s="51">
        <f t="shared" si="22"/>
        <v>79.678100000000001</v>
      </c>
      <c r="E580" s="52"/>
      <c r="F580" s="53"/>
    </row>
    <row r="581" spans="1:6" x14ac:dyDescent="0.3">
      <c r="A581" s="48">
        <v>44685</v>
      </c>
      <c r="B581" s="49">
        <v>81.720799999999997</v>
      </c>
      <c r="C581" s="50">
        <f t="shared" si="21"/>
        <v>44712</v>
      </c>
      <c r="D581" s="51">
        <f t="shared" si="22"/>
        <v>79.678100000000001</v>
      </c>
      <c r="E581" s="52"/>
      <c r="F581" s="53"/>
    </row>
    <row r="582" spans="1:6" x14ac:dyDescent="0.3">
      <c r="A582" s="48">
        <v>44686</v>
      </c>
      <c r="B582" s="49">
        <v>82.557500000000005</v>
      </c>
      <c r="C582" s="50">
        <f t="shared" si="21"/>
        <v>44712</v>
      </c>
      <c r="D582" s="51">
        <f t="shared" si="22"/>
        <v>79.678100000000001</v>
      </c>
      <c r="E582" s="52"/>
      <c r="F582" s="53"/>
    </row>
    <row r="583" spans="1:6" x14ac:dyDescent="0.3">
      <c r="A583" s="48">
        <v>44687</v>
      </c>
      <c r="B583" s="49">
        <v>81.618899999999996</v>
      </c>
      <c r="C583" s="50">
        <f t="shared" si="21"/>
        <v>44712</v>
      </c>
      <c r="D583" s="51">
        <f t="shared" si="22"/>
        <v>79.678100000000001</v>
      </c>
      <c r="E583" s="52"/>
      <c r="F583" s="53"/>
    </row>
    <row r="584" spans="1:6" x14ac:dyDescent="0.3">
      <c r="A584" s="48">
        <v>44690</v>
      </c>
      <c r="B584" s="49">
        <v>80.496799999999993</v>
      </c>
      <c r="C584" s="50">
        <f t="shared" si="21"/>
        <v>44712</v>
      </c>
      <c r="D584" s="51">
        <f t="shared" si="22"/>
        <v>79.678100000000001</v>
      </c>
      <c r="E584" s="52"/>
      <c r="F584" s="53"/>
    </row>
    <row r="585" spans="1:6" x14ac:dyDescent="0.3">
      <c r="A585" s="48">
        <v>44691</v>
      </c>
      <c r="B585" s="49">
        <v>79.059299999999993</v>
      </c>
      <c r="C585" s="50">
        <f t="shared" si="21"/>
        <v>44712</v>
      </c>
      <c r="D585" s="51">
        <f t="shared" si="22"/>
        <v>79.678100000000001</v>
      </c>
      <c r="E585" s="52"/>
      <c r="F585" s="53"/>
    </row>
    <row r="586" spans="1:6" x14ac:dyDescent="0.3">
      <c r="A586" s="48">
        <v>44692</v>
      </c>
      <c r="B586" s="49">
        <v>77.701800000000006</v>
      </c>
      <c r="C586" s="50">
        <f t="shared" si="21"/>
        <v>44712</v>
      </c>
      <c r="D586" s="51">
        <f t="shared" si="22"/>
        <v>79.678100000000001</v>
      </c>
      <c r="E586" s="52"/>
      <c r="F586" s="53"/>
    </row>
    <row r="587" spans="1:6" x14ac:dyDescent="0.3">
      <c r="A587" s="48">
        <v>44693</v>
      </c>
      <c r="B587" s="49">
        <v>76.296700000000001</v>
      </c>
      <c r="C587" s="50">
        <f t="shared" si="21"/>
        <v>44712</v>
      </c>
      <c r="D587" s="51">
        <f t="shared" si="22"/>
        <v>79.678100000000001</v>
      </c>
      <c r="E587" s="52"/>
      <c r="F587" s="53"/>
    </row>
    <row r="588" spans="1:6" x14ac:dyDescent="0.3">
      <c r="A588" s="48">
        <v>44694</v>
      </c>
      <c r="B588" s="49">
        <v>76.074200000000005</v>
      </c>
      <c r="C588" s="50">
        <f t="shared" si="21"/>
        <v>44712</v>
      </c>
      <c r="D588" s="51">
        <f t="shared" si="22"/>
        <v>79.678100000000001</v>
      </c>
      <c r="E588" s="52"/>
      <c r="F588" s="53"/>
    </row>
    <row r="589" spans="1:6" x14ac:dyDescent="0.3">
      <c r="A589" s="48">
        <v>44697</v>
      </c>
      <c r="B589" s="49">
        <v>77.186999999999998</v>
      </c>
      <c r="C589" s="50">
        <f t="shared" si="21"/>
        <v>44712</v>
      </c>
      <c r="D589" s="51">
        <f t="shared" si="22"/>
        <v>79.678100000000001</v>
      </c>
      <c r="E589" s="52"/>
      <c r="F589" s="53"/>
    </row>
    <row r="590" spans="1:6" x14ac:dyDescent="0.3">
      <c r="A590" s="48">
        <v>44698</v>
      </c>
      <c r="B590" s="49">
        <v>79.400800000000004</v>
      </c>
      <c r="C590" s="50">
        <f t="shared" si="21"/>
        <v>44712</v>
      </c>
      <c r="D590" s="51">
        <f t="shared" si="22"/>
        <v>79.678100000000001</v>
      </c>
      <c r="E590" s="52"/>
      <c r="F590" s="53"/>
    </row>
    <row r="591" spans="1:6" x14ac:dyDescent="0.3">
      <c r="A591" s="48">
        <v>44699</v>
      </c>
      <c r="B591" s="49">
        <v>79.5869</v>
      </c>
      <c r="C591" s="50">
        <f t="shared" si="21"/>
        <v>44712</v>
      </c>
      <c r="D591" s="51">
        <f t="shared" si="22"/>
        <v>79.678100000000001</v>
      </c>
      <c r="E591" s="52"/>
      <c r="F591" s="53"/>
    </row>
    <row r="592" spans="1:6" x14ac:dyDescent="0.3">
      <c r="A592" s="48">
        <v>44700</v>
      </c>
      <c r="B592" s="49">
        <v>78.299000000000007</v>
      </c>
      <c r="C592" s="50">
        <f t="shared" si="21"/>
        <v>44712</v>
      </c>
      <c r="D592" s="51">
        <f t="shared" si="22"/>
        <v>79.678100000000001</v>
      </c>
      <c r="E592" s="52"/>
      <c r="F592" s="53"/>
    </row>
    <row r="593" spans="1:6" x14ac:dyDescent="0.3">
      <c r="A593" s="48">
        <v>44701</v>
      </c>
      <c r="B593" s="49">
        <v>80.305400000000006</v>
      </c>
      <c r="C593" s="50">
        <f t="shared" si="21"/>
        <v>44712</v>
      </c>
      <c r="D593" s="51">
        <f t="shared" si="22"/>
        <v>79.678100000000001</v>
      </c>
      <c r="E593" s="52"/>
      <c r="F593" s="53"/>
    </row>
    <row r="594" spans="1:6" x14ac:dyDescent="0.3">
      <c r="A594" s="48">
        <v>44704</v>
      </c>
      <c r="B594" s="49">
        <v>79.915899999999993</v>
      </c>
      <c r="C594" s="50">
        <f t="shared" si="21"/>
        <v>44712</v>
      </c>
      <c r="D594" s="51">
        <f t="shared" si="22"/>
        <v>79.678100000000001</v>
      </c>
      <c r="E594" s="52"/>
      <c r="F594" s="53"/>
    </row>
    <row r="595" spans="1:6" x14ac:dyDescent="0.3">
      <c r="A595" s="48">
        <v>44705</v>
      </c>
      <c r="B595" s="49">
        <v>78.919300000000007</v>
      </c>
      <c r="C595" s="50">
        <f t="shared" si="21"/>
        <v>44712</v>
      </c>
      <c r="D595" s="51">
        <f t="shared" si="22"/>
        <v>79.678100000000001</v>
      </c>
      <c r="E595" s="52"/>
      <c r="F595" s="53"/>
    </row>
    <row r="596" spans="1:6" x14ac:dyDescent="0.3">
      <c r="A596" s="48">
        <v>44706</v>
      </c>
      <c r="B596" s="49">
        <v>77.850200000000001</v>
      </c>
      <c r="C596" s="50">
        <f t="shared" si="21"/>
        <v>44712</v>
      </c>
      <c r="D596" s="51">
        <f t="shared" si="22"/>
        <v>79.678100000000001</v>
      </c>
      <c r="E596" s="52"/>
      <c r="F596" s="53"/>
    </row>
    <row r="597" spans="1:6" x14ac:dyDescent="0.3">
      <c r="A597" s="48">
        <v>44707</v>
      </c>
      <c r="B597" s="49">
        <v>78.501400000000004</v>
      </c>
      <c r="C597" s="50">
        <f t="shared" si="21"/>
        <v>44712</v>
      </c>
      <c r="D597" s="51">
        <f t="shared" si="22"/>
        <v>79.678100000000001</v>
      </c>
      <c r="E597" s="52"/>
      <c r="F597" s="53"/>
    </row>
    <row r="598" spans="1:6" x14ac:dyDescent="0.3">
      <c r="A598" s="48">
        <v>44708</v>
      </c>
      <c r="B598" s="49">
        <v>78.903499999999994</v>
      </c>
      <c r="C598" s="50">
        <f t="shared" si="21"/>
        <v>44712</v>
      </c>
      <c r="D598" s="51">
        <f t="shared" si="22"/>
        <v>79.678100000000001</v>
      </c>
      <c r="E598" s="52"/>
      <c r="F598" s="53"/>
    </row>
    <row r="599" spans="1:6" x14ac:dyDescent="0.3">
      <c r="A599" s="48">
        <v>44711</v>
      </c>
      <c r="B599" s="49">
        <v>79.815600000000003</v>
      </c>
      <c r="C599" s="50">
        <f t="shared" si="21"/>
        <v>44712</v>
      </c>
      <c r="D599" s="51">
        <f t="shared" si="22"/>
        <v>79.678100000000001</v>
      </c>
      <c r="E599" s="52"/>
      <c r="F599" s="53"/>
    </row>
    <row r="600" spans="1:6" x14ac:dyDescent="0.3">
      <c r="A600" s="48">
        <v>44712</v>
      </c>
      <c r="B600" s="49">
        <v>79.678100000000001</v>
      </c>
      <c r="C600" s="50">
        <f t="shared" si="21"/>
        <v>44712</v>
      </c>
      <c r="D600" s="51">
        <f t="shared" si="22"/>
        <v>79.678100000000001</v>
      </c>
      <c r="E600" s="52"/>
      <c r="F600" s="53"/>
    </row>
    <row r="601" spans="1:6" x14ac:dyDescent="0.3">
      <c r="A601" s="48">
        <v>44713</v>
      </c>
      <c r="B601" s="49">
        <v>79.560100000000006</v>
      </c>
      <c r="C601" s="50">
        <f t="shared" si="21"/>
        <v>44742</v>
      </c>
      <c r="D601" s="51">
        <f t="shared" si="22"/>
        <v>75.992999999999995</v>
      </c>
      <c r="E601" s="52"/>
      <c r="F601" s="53"/>
    </row>
    <row r="602" spans="1:6" x14ac:dyDescent="0.3">
      <c r="A602" s="48">
        <v>44714</v>
      </c>
      <c r="B602" s="49">
        <v>80.360600000000005</v>
      </c>
      <c r="C602" s="50">
        <f t="shared" si="21"/>
        <v>44742</v>
      </c>
      <c r="D602" s="51">
        <f t="shared" si="22"/>
        <v>75.992999999999995</v>
      </c>
      <c r="E602" s="52"/>
      <c r="F602" s="53"/>
    </row>
    <row r="603" spans="1:6" x14ac:dyDescent="0.3">
      <c r="A603" s="48">
        <v>44715</v>
      </c>
      <c r="B603" s="49">
        <v>79.729799999999997</v>
      </c>
      <c r="C603" s="50">
        <f t="shared" si="21"/>
        <v>44742</v>
      </c>
      <c r="D603" s="51">
        <f t="shared" si="22"/>
        <v>75.992999999999995</v>
      </c>
      <c r="E603" s="52"/>
      <c r="F603" s="53"/>
    </row>
    <row r="604" spans="1:6" x14ac:dyDescent="0.3">
      <c r="A604" s="48">
        <v>44718</v>
      </c>
      <c r="B604" s="49">
        <v>79.424999999999997</v>
      </c>
      <c r="C604" s="50">
        <f t="shared" si="21"/>
        <v>44742</v>
      </c>
      <c r="D604" s="51">
        <f t="shared" si="22"/>
        <v>75.992999999999995</v>
      </c>
      <c r="E604" s="52"/>
      <c r="F604" s="53"/>
    </row>
    <row r="605" spans="1:6" x14ac:dyDescent="0.3">
      <c r="A605" s="48">
        <v>44719</v>
      </c>
      <c r="B605" s="49">
        <v>79.277699999999996</v>
      </c>
      <c r="C605" s="50">
        <f t="shared" si="21"/>
        <v>44742</v>
      </c>
      <c r="D605" s="51">
        <f t="shared" si="22"/>
        <v>75.992999999999995</v>
      </c>
      <c r="E605" s="52"/>
      <c r="F605" s="53"/>
    </row>
    <row r="606" spans="1:6" x14ac:dyDescent="0.3">
      <c r="A606" s="48">
        <v>44720</v>
      </c>
      <c r="B606" s="49">
        <v>79.146799999999999</v>
      </c>
      <c r="C606" s="50">
        <f t="shared" si="21"/>
        <v>44742</v>
      </c>
      <c r="D606" s="51">
        <f t="shared" si="22"/>
        <v>75.992999999999995</v>
      </c>
      <c r="E606" s="52"/>
      <c r="F606" s="53"/>
    </row>
    <row r="607" spans="1:6" x14ac:dyDescent="0.3">
      <c r="A607" s="48">
        <v>44721</v>
      </c>
      <c r="B607" s="49">
        <v>79.498099999999994</v>
      </c>
      <c r="C607" s="50">
        <f t="shared" si="21"/>
        <v>44742</v>
      </c>
      <c r="D607" s="51">
        <f t="shared" si="22"/>
        <v>75.992999999999995</v>
      </c>
      <c r="E607" s="52"/>
      <c r="F607" s="53"/>
    </row>
    <row r="608" spans="1:6" x14ac:dyDescent="0.3">
      <c r="A608" s="48">
        <v>44722</v>
      </c>
      <c r="B608" s="49">
        <v>78.968299999999999</v>
      </c>
      <c r="C608" s="50">
        <f t="shared" si="21"/>
        <v>44742</v>
      </c>
      <c r="D608" s="51">
        <f t="shared" si="22"/>
        <v>75.992999999999995</v>
      </c>
      <c r="E608" s="52"/>
      <c r="F608" s="53"/>
    </row>
    <row r="609" spans="1:6" x14ac:dyDescent="0.3">
      <c r="A609" s="48">
        <v>44725</v>
      </c>
      <c r="B609" s="49">
        <v>76.928899999999999</v>
      </c>
      <c r="C609" s="50">
        <f t="shared" si="21"/>
        <v>44742</v>
      </c>
      <c r="D609" s="51">
        <f t="shared" si="22"/>
        <v>75.992999999999995</v>
      </c>
      <c r="E609" s="52"/>
      <c r="F609" s="53"/>
    </row>
    <row r="610" spans="1:6" x14ac:dyDescent="0.3">
      <c r="A610" s="48">
        <v>44726</v>
      </c>
      <c r="B610" s="49">
        <v>76.923000000000002</v>
      </c>
      <c r="C610" s="50">
        <f t="shared" si="21"/>
        <v>44742</v>
      </c>
      <c r="D610" s="51">
        <f t="shared" si="22"/>
        <v>75.992999999999995</v>
      </c>
      <c r="E610" s="52"/>
      <c r="F610" s="53"/>
    </row>
    <row r="611" spans="1:6" x14ac:dyDescent="0.3">
      <c r="A611" s="48">
        <v>44727</v>
      </c>
      <c r="B611" s="49">
        <v>77.021600000000007</v>
      </c>
      <c r="C611" s="50">
        <f t="shared" si="21"/>
        <v>44742</v>
      </c>
      <c r="D611" s="51">
        <f t="shared" si="22"/>
        <v>75.992999999999995</v>
      </c>
      <c r="E611" s="52"/>
      <c r="F611" s="53"/>
    </row>
    <row r="612" spans="1:6" x14ac:dyDescent="0.3">
      <c r="A612" s="48">
        <v>44728</v>
      </c>
      <c r="B612" s="49">
        <v>74.993600000000001</v>
      </c>
      <c r="C612" s="50">
        <f t="shared" si="21"/>
        <v>44742</v>
      </c>
      <c r="D612" s="51">
        <f t="shared" si="22"/>
        <v>75.992999999999995</v>
      </c>
      <c r="E612" s="52"/>
      <c r="F612" s="53"/>
    </row>
    <row r="613" spans="1:6" x14ac:dyDescent="0.3">
      <c r="A613" s="48">
        <v>44729</v>
      </c>
      <c r="B613" s="49">
        <v>74.8065</v>
      </c>
      <c r="C613" s="50">
        <f t="shared" si="21"/>
        <v>44742</v>
      </c>
      <c r="D613" s="51">
        <f t="shared" si="22"/>
        <v>75.992999999999995</v>
      </c>
      <c r="E613" s="52"/>
      <c r="F613" s="53"/>
    </row>
    <row r="614" spans="1:6" x14ac:dyDescent="0.3">
      <c r="A614" s="48">
        <v>44732</v>
      </c>
      <c r="B614" s="49">
        <v>73.241399999999999</v>
      </c>
      <c r="C614" s="50">
        <f t="shared" si="21"/>
        <v>44742</v>
      </c>
      <c r="D614" s="51">
        <f t="shared" si="22"/>
        <v>75.992999999999995</v>
      </c>
      <c r="E614" s="52"/>
      <c r="F614" s="53"/>
    </row>
    <row r="615" spans="1:6" x14ac:dyDescent="0.3">
      <c r="A615" s="48">
        <v>44733</v>
      </c>
      <c r="B615" s="49">
        <v>74.974999999999994</v>
      </c>
      <c r="C615" s="50">
        <f t="shared" si="21"/>
        <v>44742</v>
      </c>
      <c r="D615" s="51">
        <f t="shared" si="22"/>
        <v>75.992999999999995</v>
      </c>
      <c r="E615" s="52"/>
      <c r="F615" s="53"/>
    </row>
    <row r="616" spans="1:6" x14ac:dyDescent="0.3">
      <c r="A616" s="48">
        <v>44734</v>
      </c>
      <c r="B616" s="49">
        <v>73.9054</v>
      </c>
      <c r="C616" s="50">
        <f t="shared" si="21"/>
        <v>44742</v>
      </c>
      <c r="D616" s="51">
        <f t="shared" si="22"/>
        <v>75.992999999999995</v>
      </c>
      <c r="E616" s="52"/>
      <c r="F616" s="53"/>
    </row>
    <row r="617" spans="1:6" x14ac:dyDescent="0.3">
      <c r="A617" s="48">
        <v>44735</v>
      </c>
      <c r="B617" s="49">
        <v>74.721500000000006</v>
      </c>
      <c r="C617" s="50">
        <f t="shared" si="21"/>
        <v>44742</v>
      </c>
      <c r="D617" s="51">
        <f t="shared" si="22"/>
        <v>75.992999999999995</v>
      </c>
      <c r="E617" s="52"/>
      <c r="F617" s="53"/>
    </row>
    <row r="618" spans="1:6" x14ac:dyDescent="0.3">
      <c r="A618" s="48">
        <v>44736</v>
      </c>
      <c r="B618" s="49">
        <v>75.602199999999996</v>
      </c>
      <c r="C618" s="50">
        <f t="shared" si="21"/>
        <v>44742</v>
      </c>
      <c r="D618" s="51">
        <f t="shared" si="22"/>
        <v>75.992999999999995</v>
      </c>
      <c r="E618" s="52"/>
      <c r="F618" s="53"/>
    </row>
    <row r="619" spans="1:6" x14ac:dyDescent="0.3">
      <c r="A619" s="48">
        <v>44739</v>
      </c>
      <c r="B619" s="49">
        <v>76.377399999999994</v>
      </c>
      <c r="C619" s="50">
        <f t="shared" si="21"/>
        <v>44742</v>
      </c>
      <c r="D619" s="51">
        <f t="shared" si="22"/>
        <v>75.992999999999995</v>
      </c>
      <c r="E619" s="52"/>
      <c r="F619" s="53"/>
    </row>
    <row r="620" spans="1:6" x14ac:dyDescent="0.3">
      <c r="A620" s="48">
        <v>44740</v>
      </c>
      <c r="B620" s="49">
        <v>76.588999999999999</v>
      </c>
      <c r="C620" s="50">
        <f t="shared" si="21"/>
        <v>44742</v>
      </c>
      <c r="D620" s="51">
        <f t="shared" si="22"/>
        <v>75.992999999999995</v>
      </c>
      <c r="E620" s="52"/>
      <c r="F620" s="53"/>
    </row>
    <row r="621" spans="1:6" x14ac:dyDescent="0.3">
      <c r="A621" s="48">
        <v>44741</v>
      </c>
      <c r="B621" s="49">
        <v>76.354399999999998</v>
      </c>
      <c r="C621" s="50">
        <f t="shared" si="21"/>
        <v>44742</v>
      </c>
      <c r="D621" s="51">
        <f t="shared" si="22"/>
        <v>75.992999999999995</v>
      </c>
      <c r="E621" s="52"/>
      <c r="F621" s="53"/>
    </row>
    <row r="622" spans="1:6" x14ac:dyDescent="0.3">
      <c r="A622" s="48">
        <v>44742</v>
      </c>
      <c r="B622" s="49">
        <v>75.992999999999995</v>
      </c>
      <c r="C622" s="50">
        <f t="shared" si="21"/>
        <v>44742</v>
      </c>
      <c r="D622" s="51">
        <f t="shared" si="22"/>
        <v>75.992999999999995</v>
      </c>
      <c r="E622" s="52"/>
      <c r="F622" s="53"/>
    </row>
    <row r="623" spans="1:6" x14ac:dyDescent="0.3">
      <c r="A623" s="48">
        <v>44743</v>
      </c>
      <c r="B623" s="49">
        <v>75.906000000000006</v>
      </c>
      <c r="C623" s="50">
        <f t="shared" si="21"/>
        <v>44773</v>
      </c>
      <c r="D623" s="51">
        <f t="shared" si="22"/>
        <v>81.361500000000007</v>
      </c>
      <c r="E623" s="52"/>
      <c r="F623" s="53"/>
    </row>
    <row r="624" spans="1:6" x14ac:dyDescent="0.3">
      <c r="A624" s="48">
        <v>44746</v>
      </c>
      <c r="B624" s="49">
        <v>76.321700000000007</v>
      </c>
      <c r="C624" s="50">
        <f t="shared" si="21"/>
        <v>44773</v>
      </c>
      <c r="D624" s="51">
        <f t="shared" si="22"/>
        <v>81.361500000000007</v>
      </c>
      <c r="E624" s="52"/>
      <c r="F624" s="53"/>
    </row>
    <row r="625" spans="1:6" x14ac:dyDescent="0.3">
      <c r="A625" s="48">
        <v>44747</v>
      </c>
      <c r="B625" s="49">
        <v>76.316000000000003</v>
      </c>
      <c r="C625" s="50">
        <f t="shared" si="21"/>
        <v>44773</v>
      </c>
      <c r="D625" s="51">
        <f t="shared" si="22"/>
        <v>81.361500000000007</v>
      </c>
      <c r="E625" s="52"/>
      <c r="F625" s="53"/>
    </row>
    <row r="626" spans="1:6" x14ac:dyDescent="0.3">
      <c r="A626" s="48">
        <v>44748</v>
      </c>
      <c r="B626" s="49">
        <v>76.576899999999995</v>
      </c>
      <c r="C626" s="50">
        <f t="shared" si="21"/>
        <v>44773</v>
      </c>
      <c r="D626" s="51">
        <f t="shared" si="22"/>
        <v>81.361500000000007</v>
      </c>
      <c r="E626" s="52"/>
      <c r="F626" s="53"/>
    </row>
    <row r="627" spans="1:6" x14ac:dyDescent="0.3">
      <c r="A627" s="48">
        <v>44749</v>
      </c>
      <c r="B627" s="49">
        <v>77.109899999999996</v>
      </c>
      <c r="C627" s="50">
        <f t="shared" si="21"/>
        <v>44773</v>
      </c>
      <c r="D627" s="51">
        <f t="shared" si="22"/>
        <v>81.361500000000007</v>
      </c>
      <c r="E627" s="52"/>
      <c r="F627" s="53"/>
    </row>
    <row r="628" spans="1:6" x14ac:dyDescent="0.3">
      <c r="A628" s="48">
        <v>44750</v>
      </c>
      <c r="B628" s="49">
        <v>77.731200000000001</v>
      </c>
      <c r="C628" s="50">
        <f t="shared" si="21"/>
        <v>44773</v>
      </c>
      <c r="D628" s="51">
        <f t="shared" si="22"/>
        <v>81.361500000000007</v>
      </c>
      <c r="E628" s="52"/>
      <c r="F628" s="53"/>
    </row>
    <row r="629" spans="1:6" x14ac:dyDescent="0.3">
      <c r="A629" s="48">
        <v>44753</v>
      </c>
      <c r="B629" s="49">
        <v>78.092500000000001</v>
      </c>
      <c r="C629" s="50">
        <f t="shared" si="21"/>
        <v>44773</v>
      </c>
      <c r="D629" s="51">
        <f t="shared" si="22"/>
        <v>81.361500000000007</v>
      </c>
      <c r="E629" s="52"/>
      <c r="F629" s="53"/>
    </row>
    <row r="630" spans="1:6" x14ac:dyDescent="0.3">
      <c r="A630" s="48">
        <v>44754</v>
      </c>
      <c r="B630" s="49">
        <v>78.119100000000003</v>
      </c>
      <c r="C630" s="50">
        <f t="shared" si="21"/>
        <v>44773</v>
      </c>
      <c r="D630" s="51">
        <f t="shared" si="22"/>
        <v>81.361500000000007</v>
      </c>
      <c r="E630" s="52"/>
      <c r="F630" s="53"/>
    </row>
    <row r="631" spans="1:6" x14ac:dyDescent="0.3">
      <c r="A631" s="48">
        <v>44755</v>
      </c>
      <c r="B631" s="49">
        <v>77.754400000000004</v>
      </c>
      <c r="C631" s="50">
        <f t="shared" si="21"/>
        <v>44773</v>
      </c>
      <c r="D631" s="51">
        <f t="shared" si="22"/>
        <v>81.361500000000007</v>
      </c>
      <c r="E631" s="52"/>
      <c r="F631" s="53"/>
    </row>
    <row r="632" spans="1:6" x14ac:dyDescent="0.3">
      <c r="A632" s="48">
        <v>44756</v>
      </c>
      <c r="B632" s="49">
        <v>77.3446</v>
      </c>
      <c r="C632" s="50">
        <f t="shared" si="21"/>
        <v>44773</v>
      </c>
      <c r="D632" s="51">
        <f t="shared" si="22"/>
        <v>81.361500000000007</v>
      </c>
      <c r="E632" s="52"/>
      <c r="F632" s="53"/>
    </row>
    <row r="633" spans="1:6" x14ac:dyDescent="0.3">
      <c r="A633" s="48">
        <v>44757</v>
      </c>
      <c r="B633" s="49">
        <v>77.651899999999998</v>
      </c>
      <c r="C633" s="50">
        <f t="shared" si="21"/>
        <v>44773</v>
      </c>
      <c r="D633" s="51">
        <f t="shared" si="22"/>
        <v>81.361500000000007</v>
      </c>
      <c r="E633" s="52"/>
      <c r="F633" s="53"/>
    </row>
    <row r="634" spans="1:6" x14ac:dyDescent="0.3">
      <c r="A634" s="48">
        <v>44760</v>
      </c>
      <c r="B634" s="49">
        <v>78.601900000000001</v>
      </c>
      <c r="C634" s="50">
        <f t="shared" si="21"/>
        <v>44773</v>
      </c>
      <c r="D634" s="51">
        <f t="shared" si="22"/>
        <v>81.361500000000007</v>
      </c>
      <c r="E634" s="52"/>
      <c r="F634" s="53"/>
    </row>
    <row r="635" spans="1:6" x14ac:dyDescent="0.3">
      <c r="A635" s="48">
        <v>44761</v>
      </c>
      <c r="B635" s="49">
        <v>78.941900000000004</v>
      </c>
      <c r="C635" s="50">
        <f t="shared" si="21"/>
        <v>44773</v>
      </c>
      <c r="D635" s="51">
        <f t="shared" si="22"/>
        <v>81.361500000000007</v>
      </c>
      <c r="E635" s="52"/>
      <c r="F635" s="53"/>
    </row>
    <row r="636" spans="1:6" x14ac:dyDescent="0.3">
      <c r="A636" s="48">
        <v>44762</v>
      </c>
      <c r="B636" s="49">
        <v>79.068100000000001</v>
      </c>
      <c r="C636" s="50">
        <f t="shared" si="21"/>
        <v>44773</v>
      </c>
      <c r="D636" s="51">
        <f t="shared" si="22"/>
        <v>81.361500000000007</v>
      </c>
      <c r="E636" s="52"/>
      <c r="F636" s="53"/>
    </row>
    <row r="637" spans="1:6" x14ac:dyDescent="0.3">
      <c r="A637" s="48">
        <v>44763</v>
      </c>
      <c r="B637" s="49">
        <v>79.571299999999994</v>
      </c>
      <c r="C637" s="50">
        <f t="shared" si="21"/>
        <v>44773</v>
      </c>
      <c r="D637" s="51">
        <f t="shared" si="22"/>
        <v>81.361500000000007</v>
      </c>
      <c r="E637" s="52"/>
      <c r="F637" s="53"/>
    </row>
    <row r="638" spans="1:6" x14ac:dyDescent="0.3">
      <c r="A638" s="48">
        <v>44764</v>
      </c>
      <c r="B638" s="49">
        <v>79.992500000000007</v>
      </c>
      <c r="C638" s="50">
        <f t="shared" si="21"/>
        <v>44773</v>
      </c>
      <c r="D638" s="51">
        <f t="shared" si="22"/>
        <v>81.361500000000007</v>
      </c>
      <c r="E638" s="52"/>
      <c r="F638" s="53"/>
    </row>
    <row r="639" spans="1:6" x14ac:dyDescent="0.3">
      <c r="A639" s="48">
        <v>44767</v>
      </c>
      <c r="B639" s="49">
        <v>79.727999999999994</v>
      </c>
      <c r="C639" s="50">
        <f t="shared" si="21"/>
        <v>44773</v>
      </c>
      <c r="D639" s="51">
        <f t="shared" si="22"/>
        <v>81.361500000000007</v>
      </c>
      <c r="E639" s="52"/>
      <c r="F639" s="53"/>
    </row>
    <row r="640" spans="1:6" x14ac:dyDescent="0.3">
      <c r="A640" s="48">
        <v>44768</v>
      </c>
      <c r="B640" s="49">
        <v>79.453100000000006</v>
      </c>
      <c r="C640" s="50">
        <f t="shared" si="21"/>
        <v>44773</v>
      </c>
      <c r="D640" s="51">
        <f t="shared" si="22"/>
        <v>81.361500000000007</v>
      </c>
      <c r="E640" s="52"/>
      <c r="F640" s="53"/>
    </row>
    <row r="641" spans="1:6" x14ac:dyDescent="0.3">
      <c r="A641" s="48">
        <v>44769</v>
      </c>
      <c r="B641" s="49">
        <v>80.172700000000006</v>
      </c>
      <c r="C641" s="50">
        <f t="shared" si="21"/>
        <v>44773</v>
      </c>
      <c r="D641" s="51">
        <f t="shared" si="22"/>
        <v>81.361500000000007</v>
      </c>
      <c r="E641" s="52"/>
      <c r="F641" s="53"/>
    </row>
    <row r="642" spans="1:6" x14ac:dyDescent="0.3">
      <c r="A642" s="48">
        <v>44770</v>
      </c>
      <c r="B642" s="49">
        <v>80.716099999999997</v>
      </c>
      <c r="C642" s="50">
        <f t="shared" si="21"/>
        <v>44773</v>
      </c>
      <c r="D642" s="51">
        <f t="shared" si="22"/>
        <v>81.361500000000007</v>
      </c>
      <c r="E642" s="52"/>
      <c r="F642" s="53"/>
    </row>
    <row r="643" spans="1:6" x14ac:dyDescent="0.3">
      <c r="A643" s="48">
        <v>44771</v>
      </c>
      <c r="B643" s="49">
        <v>81.361500000000007</v>
      </c>
      <c r="C643" s="50">
        <f t="shared" ref="C643:C706" si="23">EOMONTH(A643,0)</f>
        <v>44773</v>
      </c>
      <c r="D643" s="51">
        <f t="shared" ref="D643:D706" si="24">INDEX($B$3:$B$2001, MATCH($C643, $A$3:$A$2001, 1))</f>
        <v>81.361500000000007</v>
      </c>
      <c r="E643" s="52"/>
      <c r="F643" s="53"/>
    </row>
    <row r="644" spans="1:6" x14ac:dyDescent="0.3">
      <c r="A644" s="48">
        <v>44774</v>
      </c>
      <c r="B644" s="49">
        <v>82.394400000000005</v>
      </c>
      <c r="C644" s="50">
        <f t="shared" si="23"/>
        <v>44804</v>
      </c>
      <c r="D644" s="51">
        <f t="shared" si="24"/>
        <v>85.380099999999999</v>
      </c>
      <c r="E644" s="52"/>
      <c r="F644" s="53"/>
    </row>
    <row r="645" spans="1:6" x14ac:dyDescent="0.3">
      <c r="A645" s="48">
        <v>44775</v>
      </c>
      <c r="B645" s="49">
        <v>82.896799999999999</v>
      </c>
      <c r="C645" s="50">
        <f t="shared" si="23"/>
        <v>44804</v>
      </c>
      <c r="D645" s="51">
        <f t="shared" si="24"/>
        <v>85.380099999999999</v>
      </c>
      <c r="E645" s="52"/>
      <c r="F645" s="53"/>
    </row>
    <row r="646" spans="1:6" x14ac:dyDescent="0.3">
      <c r="A646" s="48">
        <v>44776</v>
      </c>
      <c r="B646" s="49">
        <v>82.798299999999998</v>
      </c>
      <c r="C646" s="50">
        <f t="shared" si="23"/>
        <v>44804</v>
      </c>
      <c r="D646" s="51">
        <f t="shared" si="24"/>
        <v>85.380099999999999</v>
      </c>
      <c r="E646" s="52"/>
      <c r="F646" s="53"/>
    </row>
    <row r="647" spans="1:6" x14ac:dyDescent="0.3">
      <c r="A647" s="48">
        <v>44777</v>
      </c>
      <c r="B647" s="49">
        <v>82.6066</v>
      </c>
      <c r="C647" s="50">
        <f t="shared" si="23"/>
        <v>44804</v>
      </c>
      <c r="D647" s="51">
        <f t="shared" si="24"/>
        <v>85.380099999999999</v>
      </c>
      <c r="E647" s="52"/>
      <c r="F647" s="53"/>
    </row>
    <row r="648" spans="1:6" x14ac:dyDescent="0.3">
      <c r="A648" s="48">
        <v>44778</v>
      </c>
      <c r="B648" s="49">
        <v>82.878600000000006</v>
      </c>
      <c r="C648" s="50">
        <f t="shared" si="23"/>
        <v>44804</v>
      </c>
      <c r="D648" s="51">
        <f t="shared" si="24"/>
        <v>85.380099999999999</v>
      </c>
      <c r="E648" s="52"/>
      <c r="F648" s="53"/>
    </row>
    <row r="649" spans="1:6" x14ac:dyDescent="0.3">
      <c r="A649" s="48">
        <v>44781</v>
      </c>
      <c r="B649" s="49">
        <v>83.491699999999994</v>
      </c>
      <c r="C649" s="50">
        <f t="shared" si="23"/>
        <v>44804</v>
      </c>
      <c r="D649" s="51">
        <f t="shared" si="24"/>
        <v>85.380099999999999</v>
      </c>
      <c r="E649" s="52"/>
      <c r="F649" s="53"/>
    </row>
    <row r="650" spans="1:6" x14ac:dyDescent="0.3">
      <c r="A650" s="48">
        <v>44783</v>
      </c>
      <c r="B650" s="49">
        <v>83.324399999999997</v>
      </c>
      <c r="C650" s="50">
        <f t="shared" si="23"/>
        <v>44804</v>
      </c>
      <c r="D650" s="51">
        <f t="shared" si="24"/>
        <v>85.380099999999999</v>
      </c>
      <c r="E650" s="52"/>
      <c r="F650" s="53"/>
    </row>
    <row r="651" spans="1:6" x14ac:dyDescent="0.3">
      <c r="A651" s="48">
        <v>44784</v>
      </c>
      <c r="B651" s="49">
        <v>83.831400000000002</v>
      </c>
      <c r="C651" s="50">
        <f t="shared" si="23"/>
        <v>44804</v>
      </c>
      <c r="D651" s="51">
        <f t="shared" si="24"/>
        <v>85.380099999999999</v>
      </c>
      <c r="E651" s="52"/>
      <c r="F651" s="53"/>
    </row>
    <row r="652" spans="1:6" x14ac:dyDescent="0.3">
      <c r="A652" s="48">
        <v>44785</v>
      </c>
      <c r="B652" s="49">
        <v>83.895399999999995</v>
      </c>
      <c r="C652" s="50">
        <f t="shared" si="23"/>
        <v>44804</v>
      </c>
      <c r="D652" s="51">
        <f t="shared" si="24"/>
        <v>85.380099999999999</v>
      </c>
      <c r="E652" s="52"/>
      <c r="F652" s="53"/>
    </row>
    <row r="653" spans="1:6" x14ac:dyDescent="0.3">
      <c r="A653" s="48">
        <v>44789</v>
      </c>
      <c r="B653" s="49">
        <v>84.380600000000001</v>
      </c>
      <c r="C653" s="50">
        <f t="shared" si="23"/>
        <v>44804</v>
      </c>
      <c r="D653" s="51">
        <f t="shared" si="24"/>
        <v>85.380099999999999</v>
      </c>
      <c r="E653" s="52"/>
      <c r="F653" s="53"/>
    </row>
    <row r="654" spans="1:6" x14ac:dyDescent="0.3">
      <c r="A654" s="48">
        <v>44790</v>
      </c>
      <c r="B654" s="49">
        <v>84.834500000000006</v>
      </c>
      <c r="C654" s="50">
        <f t="shared" si="23"/>
        <v>44804</v>
      </c>
      <c r="D654" s="51">
        <f t="shared" si="24"/>
        <v>85.380099999999999</v>
      </c>
      <c r="E654" s="52"/>
      <c r="F654" s="53"/>
    </row>
    <row r="655" spans="1:6" x14ac:dyDescent="0.3">
      <c r="A655" s="48">
        <v>44791</v>
      </c>
      <c r="B655" s="49">
        <v>85.271299999999997</v>
      </c>
      <c r="C655" s="50">
        <f t="shared" si="23"/>
        <v>44804</v>
      </c>
      <c r="D655" s="51">
        <f t="shared" si="24"/>
        <v>85.380099999999999</v>
      </c>
      <c r="E655" s="52"/>
      <c r="F655" s="53"/>
    </row>
    <row r="656" spans="1:6" x14ac:dyDescent="0.3">
      <c r="A656" s="48">
        <v>44792</v>
      </c>
      <c r="B656" s="49">
        <v>84.975200000000001</v>
      </c>
      <c r="C656" s="50">
        <f t="shared" si="23"/>
        <v>44804</v>
      </c>
      <c r="D656" s="51">
        <f t="shared" si="24"/>
        <v>85.380099999999999</v>
      </c>
      <c r="E656" s="52"/>
      <c r="F656" s="53"/>
    </row>
    <row r="657" spans="1:6" x14ac:dyDescent="0.3">
      <c r="A657" s="48">
        <v>44795</v>
      </c>
      <c r="B657" s="49">
        <v>83.579300000000003</v>
      </c>
      <c r="C657" s="50">
        <f t="shared" si="23"/>
        <v>44804</v>
      </c>
      <c r="D657" s="51">
        <f t="shared" si="24"/>
        <v>85.380099999999999</v>
      </c>
      <c r="E657" s="52"/>
      <c r="F657" s="53"/>
    </row>
    <row r="658" spans="1:6" x14ac:dyDescent="0.3">
      <c r="A658" s="48">
        <v>44796</v>
      </c>
      <c r="B658" s="49">
        <v>84.186499999999995</v>
      </c>
      <c r="C658" s="50">
        <f t="shared" si="23"/>
        <v>44804</v>
      </c>
      <c r="D658" s="51">
        <f t="shared" si="24"/>
        <v>85.380099999999999</v>
      </c>
      <c r="E658" s="52"/>
      <c r="F658" s="53"/>
    </row>
    <row r="659" spans="1:6" x14ac:dyDescent="0.3">
      <c r="A659" s="48">
        <v>44797</v>
      </c>
      <c r="B659" s="49">
        <v>84.686300000000003</v>
      </c>
      <c r="C659" s="50">
        <f t="shared" si="23"/>
        <v>44804</v>
      </c>
      <c r="D659" s="51">
        <f t="shared" si="24"/>
        <v>85.380099999999999</v>
      </c>
      <c r="E659" s="52"/>
      <c r="F659" s="53"/>
    </row>
    <row r="660" spans="1:6" x14ac:dyDescent="0.3">
      <c r="A660" s="48">
        <v>44798</v>
      </c>
      <c r="B660" s="49">
        <v>84.417299999999997</v>
      </c>
      <c r="C660" s="50">
        <f t="shared" si="23"/>
        <v>44804</v>
      </c>
      <c r="D660" s="51">
        <f t="shared" si="24"/>
        <v>85.380099999999999</v>
      </c>
      <c r="E660" s="52"/>
      <c r="F660" s="53"/>
    </row>
    <row r="661" spans="1:6" x14ac:dyDescent="0.3">
      <c r="A661" s="48">
        <v>44799</v>
      </c>
      <c r="B661" s="49">
        <v>84.800700000000006</v>
      </c>
      <c r="C661" s="50">
        <f t="shared" si="23"/>
        <v>44804</v>
      </c>
      <c r="D661" s="51">
        <f t="shared" si="24"/>
        <v>85.380099999999999</v>
      </c>
      <c r="E661" s="52"/>
      <c r="F661" s="53"/>
    </row>
    <row r="662" spans="1:6" x14ac:dyDescent="0.3">
      <c r="A662" s="48">
        <v>44802</v>
      </c>
      <c r="B662" s="49">
        <v>84.314800000000005</v>
      </c>
      <c r="C662" s="50">
        <f t="shared" si="23"/>
        <v>44804</v>
      </c>
      <c r="D662" s="51">
        <f t="shared" si="24"/>
        <v>85.380099999999999</v>
      </c>
      <c r="E662" s="52"/>
      <c r="F662" s="53"/>
    </row>
    <row r="663" spans="1:6" x14ac:dyDescent="0.3">
      <c r="A663" s="48">
        <v>44803</v>
      </c>
      <c r="B663" s="49">
        <v>85.380099999999999</v>
      </c>
      <c r="C663" s="50">
        <f t="shared" si="23"/>
        <v>44804</v>
      </c>
      <c r="D663" s="51">
        <f t="shared" si="24"/>
        <v>85.380099999999999</v>
      </c>
      <c r="E663" s="52"/>
      <c r="F663" s="53"/>
    </row>
    <row r="664" spans="1:6" x14ac:dyDescent="0.3">
      <c r="A664" s="48">
        <v>44805</v>
      </c>
      <c r="B664" s="49">
        <v>85.25</v>
      </c>
      <c r="C664" s="50">
        <f t="shared" si="23"/>
        <v>44834</v>
      </c>
      <c r="D664" s="51">
        <f t="shared" si="24"/>
        <v>86.575800000000001</v>
      </c>
      <c r="E664" s="52"/>
      <c r="F664" s="53"/>
    </row>
    <row r="665" spans="1:6" x14ac:dyDescent="0.3">
      <c r="A665" s="48">
        <v>44806</v>
      </c>
      <c r="B665" s="49">
        <v>85.969300000000004</v>
      </c>
      <c r="C665" s="50">
        <f t="shared" si="23"/>
        <v>44834</v>
      </c>
      <c r="D665" s="51">
        <f t="shared" si="24"/>
        <v>86.575800000000001</v>
      </c>
      <c r="E665" s="52"/>
      <c r="F665" s="53"/>
    </row>
    <row r="666" spans="1:6" x14ac:dyDescent="0.3">
      <c r="A666" s="48">
        <v>44809</v>
      </c>
      <c r="B666" s="49">
        <v>87.032700000000006</v>
      </c>
      <c r="C666" s="50">
        <f t="shared" si="23"/>
        <v>44834</v>
      </c>
      <c r="D666" s="51">
        <f t="shared" si="24"/>
        <v>86.575800000000001</v>
      </c>
      <c r="E666" s="52"/>
      <c r="F666" s="53"/>
    </row>
    <row r="667" spans="1:6" x14ac:dyDescent="0.3">
      <c r="A667" s="48">
        <v>44810</v>
      </c>
      <c r="B667" s="49">
        <v>86.938000000000002</v>
      </c>
      <c r="C667" s="50">
        <f t="shared" si="23"/>
        <v>44834</v>
      </c>
      <c r="D667" s="51">
        <f t="shared" si="24"/>
        <v>86.575800000000001</v>
      </c>
      <c r="E667" s="52"/>
      <c r="F667" s="53"/>
    </row>
    <row r="668" spans="1:6" x14ac:dyDescent="0.3">
      <c r="A668" s="48">
        <v>44811</v>
      </c>
      <c r="B668" s="49">
        <v>87.385000000000005</v>
      </c>
      <c r="C668" s="50">
        <f t="shared" si="23"/>
        <v>44834</v>
      </c>
      <c r="D668" s="51">
        <f t="shared" si="24"/>
        <v>86.575800000000001</v>
      </c>
      <c r="E668" s="52"/>
      <c r="F668" s="53"/>
    </row>
    <row r="669" spans="1:6" x14ac:dyDescent="0.3">
      <c r="A669" s="48">
        <v>44812</v>
      </c>
      <c r="B669" s="49">
        <v>88.279499999999999</v>
      </c>
      <c r="C669" s="50">
        <f t="shared" si="23"/>
        <v>44834</v>
      </c>
      <c r="D669" s="51">
        <f t="shared" si="24"/>
        <v>86.575800000000001</v>
      </c>
      <c r="E669" s="52"/>
      <c r="F669" s="53"/>
    </row>
    <row r="670" spans="1:6" x14ac:dyDescent="0.3">
      <c r="A670" s="48">
        <v>44813</v>
      </c>
      <c r="B670" s="49">
        <v>88.361400000000003</v>
      </c>
      <c r="C670" s="50">
        <f t="shared" si="23"/>
        <v>44834</v>
      </c>
      <c r="D670" s="51">
        <f t="shared" si="24"/>
        <v>86.575800000000001</v>
      </c>
      <c r="E670" s="52"/>
      <c r="F670" s="53"/>
    </row>
    <row r="671" spans="1:6" x14ac:dyDescent="0.3">
      <c r="A671" s="48">
        <v>44816</v>
      </c>
      <c r="B671" s="49">
        <v>88.998900000000006</v>
      </c>
      <c r="C671" s="50">
        <f t="shared" si="23"/>
        <v>44834</v>
      </c>
      <c r="D671" s="51">
        <f t="shared" si="24"/>
        <v>86.575800000000001</v>
      </c>
      <c r="E671" s="52"/>
      <c r="F671" s="53"/>
    </row>
    <row r="672" spans="1:6" x14ac:dyDescent="0.3">
      <c r="A672" s="48">
        <v>44817</v>
      </c>
      <c r="B672" s="49">
        <v>89.257000000000005</v>
      </c>
      <c r="C672" s="50">
        <f t="shared" si="23"/>
        <v>44834</v>
      </c>
      <c r="D672" s="51">
        <f t="shared" si="24"/>
        <v>86.575800000000001</v>
      </c>
      <c r="E672" s="52"/>
      <c r="F672" s="53"/>
    </row>
    <row r="673" spans="1:6" x14ac:dyDescent="0.3">
      <c r="A673" s="48">
        <v>44818</v>
      </c>
      <c r="B673" s="49">
        <v>89.649900000000002</v>
      </c>
      <c r="C673" s="50">
        <f t="shared" si="23"/>
        <v>44834</v>
      </c>
      <c r="D673" s="51">
        <f t="shared" si="24"/>
        <v>86.575800000000001</v>
      </c>
      <c r="E673" s="52"/>
      <c r="F673" s="53"/>
    </row>
    <row r="674" spans="1:6" x14ac:dyDescent="0.3">
      <c r="A674" s="48">
        <v>44819</v>
      </c>
      <c r="B674" s="49">
        <v>89.716099999999997</v>
      </c>
      <c r="C674" s="50">
        <f t="shared" si="23"/>
        <v>44834</v>
      </c>
      <c r="D674" s="51">
        <f t="shared" si="24"/>
        <v>86.575800000000001</v>
      </c>
      <c r="E674" s="52"/>
      <c r="F674" s="53"/>
    </row>
    <row r="675" spans="1:6" x14ac:dyDescent="0.3">
      <c r="A675" s="48">
        <v>44820</v>
      </c>
      <c r="B675" s="49">
        <v>88.129000000000005</v>
      </c>
      <c r="C675" s="50">
        <f t="shared" si="23"/>
        <v>44834</v>
      </c>
      <c r="D675" s="51">
        <f t="shared" si="24"/>
        <v>86.575800000000001</v>
      </c>
      <c r="E675" s="52"/>
      <c r="F675" s="53"/>
    </row>
    <row r="676" spans="1:6" x14ac:dyDescent="0.3">
      <c r="A676" s="48">
        <v>44823</v>
      </c>
      <c r="B676" s="49">
        <v>88.300799999999995</v>
      </c>
      <c r="C676" s="50">
        <f t="shared" si="23"/>
        <v>44834</v>
      </c>
      <c r="D676" s="51">
        <f t="shared" si="24"/>
        <v>86.575800000000001</v>
      </c>
      <c r="E676" s="52"/>
      <c r="F676" s="53"/>
    </row>
    <row r="677" spans="1:6" x14ac:dyDescent="0.3">
      <c r="A677" s="48">
        <v>44824</v>
      </c>
      <c r="B677" s="49">
        <v>89.012699999999995</v>
      </c>
      <c r="C677" s="50">
        <f t="shared" si="23"/>
        <v>44834</v>
      </c>
      <c r="D677" s="51">
        <f t="shared" si="24"/>
        <v>86.575800000000001</v>
      </c>
      <c r="E677" s="52"/>
      <c r="F677" s="53"/>
    </row>
    <row r="678" spans="1:6" x14ac:dyDescent="0.3">
      <c r="A678" s="48">
        <v>44825</v>
      </c>
      <c r="B678" s="49">
        <v>89.039699999999996</v>
      </c>
      <c r="C678" s="50">
        <f t="shared" si="23"/>
        <v>44834</v>
      </c>
      <c r="D678" s="51">
        <f t="shared" si="24"/>
        <v>86.575800000000001</v>
      </c>
      <c r="E678" s="52"/>
      <c r="F678" s="53"/>
    </row>
    <row r="679" spans="1:6" x14ac:dyDescent="0.3">
      <c r="A679" s="48">
        <v>44826</v>
      </c>
      <c r="B679" s="49">
        <v>89.481300000000005</v>
      </c>
      <c r="C679" s="50">
        <f t="shared" si="23"/>
        <v>44834</v>
      </c>
      <c r="D679" s="51">
        <f t="shared" si="24"/>
        <v>86.575800000000001</v>
      </c>
      <c r="E679" s="52"/>
      <c r="F679" s="53"/>
    </row>
    <row r="680" spans="1:6" x14ac:dyDescent="0.3">
      <c r="A680" s="48">
        <v>44827</v>
      </c>
      <c r="B680" s="49">
        <v>88.196899999999999</v>
      </c>
      <c r="C680" s="50">
        <f t="shared" si="23"/>
        <v>44834</v>
      </c>
      <c r="D680" s="51">
        <f t="shared" si="24"/>
        <v>86.575800000000001</v>
      </c>
      <c r="E680" s="52"/>
      <c r="F680" s="53"/>
    </row>
    <row r="681" spans="1:6" x14ac:dyDescent="0.3">
      <c r="A681" s="48">
        <v>44830</v>
      </c>
      <c r="B681" s="49">
        <v>86.1387</v>
      </c>
      <c r="C681" s="50">
        <f t="shared" si="23"/>
        <v>44834</v>
      </c>
      <c r="D681" s="51">
        <f t="shared" si="24"/>
        <v>86.575800000000001</v>
      </c>
      <c r="E681" s="52"/>
      <c r="F681" s="53"/>
    </row>
    <row r="682" spans="1:6" x14ac:dyDescent="0.3">
      <c r="A682" s="48">
        <v>44831</v>
      </c>
      <c r="B682" s="49">
        <v>85.867999999999995</v>
      </c>
      <c r="C682" s="50">
        <f t="shared" si="23"/>
        <v>44834</v>
      </c>
      <c r="D682" s="51">
        <f t="shared" si="24"/>
        <v>86.575800000000001</v>
      </c>
      <c r="E682" s="52"/>
      <c r="F682" s="53"/>
    </row>
    <row r="683" spans="1:6" x14ac:dyDescent="0.3">
      <c r="A683" s="48">
        <v>44832</v>
      </c>
      <c r="B683" s="49">
        <v>84.961699999999993</v>
      </c>
      <c r="C683" s="50">
        <f t="shared" si="23"/>
        <v>44834</v>
      </c>
      <c r="D683" s="51">
        <f t="shared" si="24"/>
        <v>86.575800000000001</v>
      </c>
      <c r="E683" s="52"/>
      <c r="F683" s="53"/>
    </row>
    <row r="684" spans="1:6" x14ac:dyDescent="0.3">
      <c r="A684" s="48">
        <v>44833</v>
      </c>
      <c r="B684" s="49">
        <v>85.784000000000006</v>
      </c>
      <c r="C684" s="50">
        <f t="shared" si="23"/>
        <v>44834</v>
      </c>
      <c r="D684" s="51">
        <f t="shared" si="24"/>
        <v>86.575800000000001</v>
      </c>
      <c r="E684" s="52"/>
      <c r="F684" s="53"/>
    </row>
    <row r="685" spans="1:6" x14ac:dyDescent="0.3">
      <c r="A685" s="48">
        <v>44834</v>
      </c>
      <c r="B685" s="49">
        <v>86.575800000000001</v>
      </c>
      <c r="C685" s="50">
        <f t="shared" si="23"/>
        <v>44834</v>
      </c>
      <c r="D685" s="51">
        <f t="shared" si="24"/>
        <v>86.575800000000001</v>
      </c>
      <c r="E685" s="52"/>
      <c r="F685" s="53"/>
    </row>
    <row r="686" spans="1:6" x14ac:dyDescent="0.3">
      <c r="A686" s="48">
        <v>44837</v>
      </c>
      <c r="B686" s="49">
        <v>85.602699999999999</v>
      </c>
      <c r="C686" s="50">
        <f t="shared" si="23"/>
        <v>44865</v>
      </c>
      <c r="D686" s="51">
        <f t="shared" si="24"/>
        <v>88.990099999999998</v>
      </c>
      <c r="E686" s="52"/>
      <c r="F686" s="53"/>
    </row>
    <row r="687" spans="1:6" x14ac:dyDescent="0.3">
      <c r="A687" s="48">
        <v>44838</v>
      </c>
      <c r="B687" s="49">
        <v>87.470399999999998</v>
      </c>
      <c r="C687" s="50">
        <f t="shared" si="23"/>
        <v>44865</v>
      </c>
      <c r="D687" s="51">
        <f t="shared" si="24"/>
        <v>88.990099999999998</v>
      </c>
      <c r="E687" s="52"/>
      <c r="F687" s="53"/>
    </row>
    <row r="688" spans="1:6" x14ac:dyDescent="0.3">
      <c r="A688" s="48">
        <v>44840</v>
      </c>
      <c r="B688" s="49">
        <v>88.165899999999993</v>
      </c>
      <c r="C688" s="50">
        <f t="shared" si="23"/>
        <v>44865</v>
      </c>
      <c r="D688" s="51">
        <f t="shared" si="24"/>
        <v>88.990099999999998</v>
      </c>
      <c r="E688" s="52"/>
      <c r="F688" s="53"/>
    </row>
    <row r="689" spans="1:6" x14ac:dyDescent="0.3">
      <c r="A689" s="48">
        <v>44841</v>
      </c>
      <c r="B689" s="49">
        <v>88.136099999999999</v>
      </c>
      <c r="C689" s="50">
        <f t="shared" si="23"/>
        <v>44865</v>
      </c>
      <c r="D689" s="51">
        <f t="shared" si="24"/>
        <v>88.990099999999998</v>
      </c>
      <c r="E689" s="52"/>
      <c r="F689" s="53"/>
    </row>
    <row r="690" spans="1:6" x14ac:dyDescent="0.3">
      <c r="A690" s="48">
        <v>44844</v>
      </c>
      <c r="B690" s="49">
        <v>87.472700000000003</v>
      </c>
      <c r="C690" s="50">
        <f t="shared" si="23"/>
        <v>44865</v>
      </c>
      <c r="D690" s="51">
        <f t="shared" si="24"/>
        <v>88.990099999999998</v>
      </c>
      <c r="E690" s="52"/>
      <c r="F690" s="53"/>
    </row>
    <row r="691" spans="1:6" x14ac:dyDescent="0.3">
      <c r="A691" s="48">
        <v>44845</v>
      </c>
      <c r="B691" s="49">
        <v>86.543800000000005</v>
      </c>
      <c r="C691" s="50">
        <f t="shared" si="23"/>
        <v>44865</v>
      </c>
      <c r="D691" s="51">
        <f t="shared" si="24"/>
        <v>88.990099999999998</v>
      </c>
      <c r="E691" s="52"/>
      <c r="F691" s="53"/>
    </row>
    <row r="692" spans="1:6" x14ac:dyDescent="0.3">
      <c r="A692" s="48">
        <v>44846</v>
      </c>
      <c r="B692" s="49">
        <v>86.8994</v>
      </c>
      <c r="C692" s="50">
        <f t="shared" si="23"/>
        <v>44865</v>
      </c>
      <c r="D692" s="51">
        <f t="shared" si="24"/>
        <v>88.990099999999998</v>
      </c>
      <c r="E692" s="52"/>
      <c r="F692" s="53"/>
    </row>
    <row r="693" spans="1:6" x14ac:dyDescent="0.3">
      <c r="A693" s="48">
        <v>44847</v>
      </c>
      <c r="B693" s="49">
        <v>86.318899999999999</v>
      </c>
      <c r="C693" s="50">
        <f t="shared" si="23"/>
        <v>44865</v>
      </c>
      <c r="D693" s="51">
        <f t="shared" si="24"/>
        <v>88.990099999999998</v>
      </c>
      <c r="E693" s="52"/>
      <c r="F693" s="53"/>
    </row>
    <row r="694" spans="1:6" x14ac:dyDescent="0.3">
      <c r="A694" s="48">
        <v>44848</v>
      </c>
      <c r="B694" s="49">
        <v>86.349699999999999</v>
      </c>
      <c r="C694" s="50">
        <f t="shared" si="23"/>
        <v>44865</v>
      </c>
      <c r="D694" s="51">
        <f t="shared" si="24"/>
        <v>88.990099999999998</v>
      </c>
      <c r="E694" s="52"/>
      <c r="F694" s="53"/>
    </row>
    <row r="695" spans="1:6" x14ac:dyDescent="0.3">
      <c r="A695" s="48">
        <v>44851</v>
      </c>
      <c r="B695" s="49">
        <v>87.112799999999993</v>
      </c>
      <c r="C695" s="50">
        <f t="shared" si="23"/>
        <v>44865</v>
      </c>
      <c r="D695" s="51">
        <f t="shared" si="24"/>
        <v>88.990099999999998</v>
      </c>
      <c r="E695" s="52"/>
      <c r="F695" s="53"/>
    </row>
    <row r="696" spans="1:6" x14ac:dyDescent="0.3">
      <c r="A696" s="48">
        <v>44852</v>
      </c>
      <c r="B696" s="49">
        <v>87.843199999999996</v>
      </c>
      <c r="C696" s="50">
        <f t="shared" si="23"/>
        <v>44865</v>
      </c>
      <c r="D696" s="51">
        <f t="shared" si="24"/>
        <v>88.990099999999998</v>
      </c>
      <c r="E696" s="52"/>
      <c r="F696" s="53"/>
    </row>
    <row r="697" spans="1:6" x14ac:dyDescent="0.3">
      <c r="A697" s="48">
        <v>44853</v>
      </c>
      <c r="B697" s="49">
        <v>87.806200000000004</v>
      </c>
      <c r="C697" s="50">
        <f t="shared" si="23"/>
        <v>44865</v>
      </c>
      <c r="D697" s="51">
        <f t="shared" si="24"/>
        <v>88.990099999999998</v>
      </c>
      <c r="E697" s="52"/>
      <c r="F697" s="53"/>
    </row>
    <row r="698" spans="1:6" x14ac:dyDescent="0.3">
      <c r="A698" s="48">
        <v>44854</v>
      </c>
      <c r="B698" s="49">
        <v>88.235200000000006</v>
      </c>
      <c r="C698" s="50">
        <f t="shared" si="23"/>
        <v>44865</v>
      </c>
      <c r="D698" s="51">
        <f t="shared" si="24"/>
        <v>88.990099999999998</v>
      </c>
      <c r="E698" s="52"/>
      <c r="F698" s="53"/>
    </row>
    <row r="699" spans="1:6" x14ac:dyDescent="0.3">
      <c r="A699" s="48">
        <v>44855</v>
      </c>
      <c r="B699" s="49">
        <v>87.6584</v>
      </c>
      <c r="C699" s="50">
        <f t="shared" si="23"/>
        <v>44865</v>
      </c>
      <c r="D699" s="51">
        <f t="shared" si="24"/>
        <v>88.990099999999998</v>
      </c>
      <c r="E699" s="52"/>
      <c r="F699" s="53"/>
    </row>
    <row r="700" spans="1:6" x14ac:dyDescent="0.3">
      <c r="A700" s="48">
        <v>44859</v>
      </c>
      <c r="B700" s="49">
        <v>88.403499999999994</v>
      </c>
      <c r="C700" s="50">
        <f t="shared" si="23"/>
        <v>44865</v>
      </c>
      <c r="D700" s="51">
        <f t="shared" si="24"/>
        <v>88.990099999999998</v>
      </c>
      <c r="E700" s="52"/>
      <c r="F700" s="53"/>
    </row>
    <row r="701" spans="1:6" x14ac:dyDescent="0.3">
      <c r="A701" s="48">
        <v>44861</v>
      </c>
      <c r="B701" s="49">
        <v>88.853300000000004</v>
      </c>
      <c r="C701" s="50">
        <f t="shared" si="23"/>
        <v>44865</v>
      </c>
      <c r="D701" s="51">
        <f t="shared" si="24"/>
        <v>88.990099999999998</v>
      </c>
      <c r="E701" s="52"/>
      <c r="F701" s="53"/>
    </row>
    <row r="702" spans="1:6" x14ac:dyDescent="0.3">
      <c r="A702" s="48">
        <v>44862</v>
      </c>
      <c r="B702" s="49">
        <v>88.570599999999999</v>
      </c>
      <c r="C702" s="50">
        <f t="shared" si="23"/>
        <v>44865</v>
      </c>
      <c r="D702" s="51">
        <f t="shared" si="24"/>
        <v>88.990099999999998</v>
      </c>
      <c r="E702" s="52"/>
      <c r="F702" s="53"/>
    </row>
    <row r="703" spans="1:6" x14ac:dyDescent="0.3">
      <c r="A703" s="48">
        <v>44865</v>
      </c>
      <c r="B703" s="49">
        <v>88.990099999999998</v>
      </c>
      <c r="C703" s="50">
        <f t="shared" si="23"/>
        <v>44865</v>
      </c>
      <c r="D703" s="51">
        <f t="shared" si="24"/>
        <v>88.990099999999998</v>
      </c>
      <c r="E703" s="52"/>
      <c r="F703" s="53"/>
    </row>
    <row r="704" spans="1:6" x14ac:dyDescent="0.3">
      <c r="A704" s="48">
        <v>44866</v>
      </c>
      <c r="B704" s="49">
        <v>89.278999999999996</v>
      </c>
      <c r="C704" s="50">
        <f t="shared" si="23"/>
        <v>44895</v>
      </c>
      <c r="D704" s="51">
        <f t="shared" si="24"/>
        <v>91.430599999999998</v>
      </c>
      <c r="E704" s="52"/>
      <c r="F704" s="53"/>
    </row>
    <row r="705" spans="1:6" x14ac:dyDescent="0.3">
      <c r="A705" s="48">
        <v>44867</v>
      </c>
      <c r="B705" s="49">
        <v>89.0989</v>
      </c>
      <c r="C705" s="50">
        <f t="shared" si="23"/>
        <v>44895</v>
      </c>
      <c r="D705" s="51">
        <f t="shared" si="24"/>
        <v>91.430599999999998</v>
      </c>
      <c r="E705" s="52"/>
      <c r="F705" s="53"/>
    </row>
    <row r="706" spans="1:6" x14ac:dyDescent="0.3">
      <c r="A706" s="48">
        <v>44868</v>
      </c>
      <c r="B706" s="49">
        <v>88.497200000000007</v>
      </c>
      <c r="C706" s="50">
        <f t="shared" si="23"/>
        <v>44895</v>
      </c>
      <c r="D706" s="51">
        <f t="shared" si="24"/>
        <v>91.430599999999998</v>
      </c>
      <c r="E706" s="52"/>
      <c r="F706" s="53"/>
    </row>
    <row r="707" spans="1:6" x14ac:dyDescent="0.3">
      <c r="A707" s="48">
        <v>44869</v>
      </c>
      <c r="B707" s="49">
        <v>89.291200000000003</v>
      </c>
      <c r="C707" s="50">
        <f t="shared" ref="C707:C770" si="25">EOMONTH(A707,0)</f>
        <v>44895</v>
      </c>
      <c r="D707" s="51">
        <f t="shared" ref="D707:D770" si="26">INDEX($B$3:$B$2001, MATCH($C707, $A$3:$A$2001, 1))</f>
        <v>91.430599999999998</v>
      </c>
      <c r="E707" s="52"/>
      <c r="F707" s="53"/>
    </row>
    <row r="708" spans="1:6" x14ac:dyDescent="0.3">
      <c r="A708" s="48">
        <v>44872</v>
      </c>
      <c r="B708" s="49">
        <v>89.870400000000004</v>
      </c>
      <c r="C708" s="50">
        <f t="shared" si="25"/>
        <v>44895</v>
      </c>
      <c r="D708" s="51">
        <f t="shared" si="26"/>
        <v>91.430599999999998</v>
      </c>
      <c r="E708" s="52"/>
      <c r="F708" s="53"/>
    </row>
    <row r="709" spans="1:6" x14ac:dyDescent="0.3">
      <c r="A709" s="48">
        <v>44874</v>
      </c>
      <c r="B709" s="49">
        <v>90.189499999999995</v>
      </c>
      <c r="C709" s="50">
        <f t="shared" si="25"/>
        <v>44895</v>
      </c>
      <c r="D709" s="51">
        <f t="shared" si="26"/>
        <v>91.430599999999998</v>
      </c>
      <c r="E709" s="52"/>
      <c r="F709" s="53"/>
    </row>
    <row r="710" spans="1:6" x14ac:dyDescent="0.3">
      <c r="A710" s="48">
        <v>44875</v>
      </c>
      <c r="B710" s="49">
        <v>89.516300000000001</v>
      </c>
      <c r="C710" s="50">
        <f t="shared" si="25"/>
        <v>44895</v>
      </c>
      <c r="D710" s="51">
        <f t="shared" si="26"/>
        <v>91.430599999999998</v>
      </c>
      <c r="E710" s="52"/>
      <c r="F710" s="53"/>
    </row>
    <row r="711" spans="1:6" x14ac:dyDescent="0.3">
      <c r="A711" s="48">
        <v>44876</v>
      </c>
      <c r="B711" s="49">
        <v>90.404899999999998</v>
      </c>
      <c r="C711" s="50">
        <f t="shared" si="25"/>
        <v>44895</v>
      </c>
      <c r="D711" s="51">
        <f t="shared" si="26"/>
        <v>91.430599999999998</v>
      </c>
      <c r="E711" s="52"/>
      <c r="F711" s="53"/>
    </row>
    <row r="712" spans="1:6" x14ac:dyDescent="0.3">
      <c r="A712" s="48">
        <v>44879</v>
      </c>
      <c r="B712" s="49">
        <v>90.340699999999998</v>
      </c>
      <c r="C712" s="50">
        <f t="shared" si="25"/>
        <v>44895</v>
      </c>
      <c r="D712" s="51">
        <f t="shared" si="26"/>
        <v>91.430599999999998</v>
      </c>
      <c r="E712" s="52"/>
      <c r="F712" s="53"/>
    </row>
    <row r="713" spans="1:6" x14ac:dyDescent="0.3">
      <c r="A713" s="48">
        <v>44880</v>
      </c>
      <c r="B713" s="49">
        <v>90.786199999999994</v>
      </c>
      <c r="C713" s="50">
        <f t="shared" si="25"/>
        <v>44895</v>
      </c>
      <c r="D713" s="51">
        <f t="shared" si="26"/>
        <v>91.430599999999998</v>
      </c>
      <c r="E713" s="52"/>
      <c r="F713" s="53"/>
    </row>
    <row r="714" spans="1:6" x14ac:dyDescent="0.3">
      <c r="A714" s="48">
        <v>44881</v>
      </c>
      <c r="B714" s="49">
        <v>90.494100000000003</v>
      </c>
      <c r="C714" s="50">
        <f t="shared" si="25"/>
        <v>44895</v>
      </c>
      <c r="D714" s="51">
        <f t="shared" si="26"/>
        <v>91.430599999999998</v>
      </c>
      <c r="E714" s="52"/>
      <c r="F714" s="53"/>
    </row>
    <row r="715" spans="1:6" x14ac:dyDescent="0.3">
      <c r="A715" s="48">
        <v>44882</v>
      </c>
      <c r="B715" s="49">
        <v>90.065600000000003</v>
      </c>
      <c r="C715" s="50">
        <f t="shared" si="25"/>
        <v>44895</v>
      </c>
      <c r="D715" s="51">
        <f t="shared" si="26"/>
        <v>91.430599999999998</v>
      </c>
      <c r="E715" s="52"/>
      <c r="F715" s="53"/>
    </row>
    <row r="716" spans="1:6" x14ac:dyDescent="0.3">
      <c r="A716" s="48">
        <v>44883</v>
      </c>
      <c r="B716" s="49">
        <v>90.091999999999999</v>
      </c>
      <c r="C716" s="50">
        <f t="shared" si="25"/>
        <v>44895</v>
      </c>
      <c r="D716" s="51">
        <f t="shared" si="26"/>
        <v>91.430599999999998</v>
      </c>
      <c r="E716" s="52"/>
      <c r="F716" s="53"/>
    </row>
    <row r="717" spans="1:6" x14ac:dyDescent="0.3">
      <c r="A717" s="48">
        <v>44886</v>
      </c>
      <c r="B717" s="49">
        <v>89.421199999999999</v>
      </c>
      <c r="C717" s="50">
        <f t="shared" si="25"/>
        <v>44895</v>
      </c>
      <c r="D717" s="51">
        <f t="shared" si="26"/>
        <v>91.430599999999998</v>
      </c>
      <c r="E717" s="52"/>
      <c r="F717" s="53"/>
    </row>
    <row r="718" spans="1:6" x14ac:dyDescent="0.3">
      <c r="A718" s="48">
        <v>44887</v>
      </c>
      <c r="B718" s="49">
        <v>89.847499999999997</v>
      </c>
      <c r="C718" s="50">
        <f t="shared" si="25"/>
        <v>44895</v>
      </c>
      <c r="D718" s="51">
        <f t="shared" si="26"/>
        <v>91.430599999999998</v>
      </c>
      <c r="E718" s="52"/>
      <c r="F718" s="53"/>
    </row>
    <row r="719" spans="1:6" x14ac:dyDescent="0.3">
      <c r="A719" s="48">
        <v>44888</v>
      </c>
      <c r="B719" s="49">
        <v>89.917000000000002</v>
      </c>
      <c r="C719" s="50">
        <f t="shared" si="25"/>
        <v>44895</v>
      </c>
      <c r="D719" s="51">
        <f t="shared" si="26"/>
        <v>91.430599999999998</v>
      </c>
      <c r="E719" s="52"/>
      <c r="F719" s="53"/>
    </row>
    <row r="720" spans="1:6" x14ac:dyDescent="0.3">
      <c r="A720" s="48">
        <v>44889</v>
      </c>
      <c r="B720" s="49">
        <v>90.471199999999996</v>
      </c>
      <c r="C720" s="50">
        <f t="shared" si="25"/>
        <v>44895</v>
      </c>
      <c r="D720" s="51">
        <f t="shared" si="26"/>
        <v>91.430599999999998</v>
      </c>
      <c r="E720" s="52"/>
      <c r="F720" s="53"/>
    </row>
    <row r="721" spans="1:6" x14ac:dyDescent="0.3">
      <c r="A721" s="48">
        <v>44890</v>
      </c>
      <c r="B721" s="49">
        <v>90.796499999999995</v>
      </c>
      <c r="C721" s="50">
        <f t="shared" si="25"/>
        <v>44895</v>
      </c>
      <c r="D721" s="51">
        <f t="shared" si="26"/>
        <v>91.430599999999998</v>
      </c>
      <c r="E721" s="52"/>
      <c r="F721" s="53"/>
    </row>
    <row r="722" spans="1:6" x14ac:dyDescent="0.3">
      <c r="A722" s="48">
        <v>44893</v>
      </c>
      <c r="B722" s="49">
        <v>91.097300000000004</v>
      </c>
      <c r="C722" s="50">
        <f t="shared" si="25"/>
        <v>44895</v>
      </c>
      <c r="D722" s="51">
        <f t="shared" si="26"/>
        <v>91.430599999999998</v>
      </c>
      <c r="E722" s="52"/>
      <c r="F722" s="53"/>
    </row>
    <row r="723" spans="1:6" x14ac:dyDescent="0.3">
      <c r="A723" s="48">
        <v>44894</v>
      </c>
      <c r="B723" s="49">
        <v>91.157399999999996</v>
      </c>
      <c r="C723" s="50">
        <f t="shared" si="25"/>
        <v>44895</v>
      </c>
      <c r="D723" s="51">
        <f t="shared" si="26"/>
        <v>91.430599999999998</v>
      </c>
      <c r="E723" s="52"/>
      <c r="F723" s="53"/>
    </row>
    <row r="724" spans="1:6" x14ac:dyDescent="0.3">
      <c r="A724" s="48">
        <v>44895</v>
      </c>
      <c r="B724" s="49">
        <v>91.430599999999998</v>
      </c>
      <c r="C724" s="50">
        <f t="shared" si="25"/>
        <v>44895</v>
      </c>
      <c r="D724" s="51">
        <f t="shared" si="26"/>
        <v>91.430599999999998</v>
      </c>
      <c r="E724" s="52"/>
      <c r="F724" s="53"/>
    </row>
    <row r="725" spans="1:6" x14ac:dyDescent="0.3">
      <c r="A725" s="48">
        <v>44896</v>
      </c>
      <c r="B725" s="49">
        <v>91.881100000000004</v>
      </c>
      <c r="C725" s="50">
        <f t="shared" si="25"/>
        <v>44926</v>
      </c>
      <c r="D725" s="51">
        <f t="shared" si="26"/>
        <v>91.551299999999998</v>
      </c>
      <c r="E725" s="52"/>
      <c r="F725" s="53"/>
    </row>
    <row r="726" spans="1:6" x14ac:dyDescent="0.3">
      <c r="A726" s="48">
        <v>44897</v>
      </c>
      <c r="B726" s="49">
        <v>92.328199999999995</v>
      </c>
      <c r="C726" s="50">
        <f t="shared" si="25"/>
        <v>44926</v>
      </c>
      <c r="D726" s="51">
        <f t="shared" si="26"/>
        <v>91.551299999999998</v>
      </c>
      <c r="E726" s="52"/>
      <c r="F726" s="53"/>
    </row>
    <row r="727" spans="1:6" x14ac:dyDescent="0.3">
      <c r="A727" s="48">
        <v>44900</v>
      </c>
      <c r="B727" s="49">
        <v>93.036900000000003</v>
      </c>
      <c r="C727" s="50">
        <f t="shared" si="25"/>
        <v>44926</v>
      </c>
      <c r="D727" s="51">
        <f t="shared" si="26"/>
        <v>91.551299999999998</v>
      </c>
      <c r="E727" s="52"/>
      <c r="F727" s="53"/>
    </row>
    <row r="728" spans="1:6" x14ac:dyDescent="0.3">
      <c r="A728" s="48">
        <v>44901</v>
      </c>
      <c r="B728" s="49">
        <v>92.543499999999995</v>
      </c>
      <c r="C728" s="50">
        <f t="shared" si="25"/>
        <v>44926</v>
      </c>
      <c r="D728" s="51">
        <f t="shared" si="26"/>
        <v>91.551299999999998</v>
      </c>
      <c r="E728" s="52"/>
      <c r="F728" s="53"/>
    </row>
    <row r="729" spans="1:6" x14ac:dyDescent="0.3">
      <c r="A729" s="48">
        <v>44902</v>
      </c>
      <c r="B729" s="49">
        <v>92.317499999999995</v>
      </c>
      <c r="C729" s="50">
        <f t="shared" si="25"/>
        <v>44926</v>
      </c>
      <c r="D729" s="51">
        <f t="shared" si="26"/>
        <v>91.551299999999998</v>
      </c>
      <c r="E729" s="52"/>
      <c r="F729" s="53"/>
    </row>
    <row r="730" spans="1:6" x14ac:dyDescent="0.3">
      <c r="A730" s="48">
        <v>44903</v>
      </c>
      <c r="B730" s="49">
        <v>92.727000000000004</v>
      </c>
      <c r="C730" s="50">
        <f t="shared" si="25"/>
        <v>44926</v>
      </c>
      <c r="D730" s="51">
        <f t="shared" si="26"/>
        <v>91.551299999999998</v>
      </c>
      <c r="E730" s="52"/>
      <c r="F730" s="53"/>
    </row>
    <row r="731" spans="1:6" x14ac:dyDescent="0.3">
      <c r="A731" s="48">
        <v>44904</v>
      </c>
      <c r="B731" s="49">
        <v>92.378900000000002</v>
      </c>
      <c r="C731" s="50">
        <f t="shared" si="25"/>
        <v>44926</v>
      </c>
      <c r="D731" s="51">
        <f t="shared" si="26"/>
        <v>91.551299999999998</v>
      </c>
      <c r="E731" s="52"/>
      <c r="F731" s="53"/>
    </row>
    <row r="732" spans="1:6" x14ac:dyDescent="0.3">
      <c r="A732" s="48">
        <v>44907</v>
      </c>
      <c r="B732" s="49">
        <v>92.707499999999996</v>
      </c>
      <c r="C732" s="50">
        <f t="shared" si="25"/>
        <v>44926</v>
      </c>
      <c r="D732" s="51">
        <f t="shared" si="26"/>
        <v>91.551299999999998</v>
      </c>
      <c r="E732" s="52"/>
      <c r="F732" s="53"/>
    </row>
    <row r="733" spans="1:6" x14ac:dyDescent="0.3">
      <c r="A733" s="48">
        <v>44908</v>
      </c>
      <c r="B733" s="49">
        <v>93.026499999999999</v>
      </c>
      <c r="C733" s="50">
        <f t="shared" si="25"/>
        <v>44926</v>
      </c>
      <c r="D733" s="51">
        <f t="shared" si="26"/>
        <v>91.551299999999998</v>
      </c>
      <c r="E733" s="52"/>
      <c r="F733" s="53"/>
    </row>
    <row r="734" spans="1:6" x14ac:dyDescent="0.3">
      <c r="A734" s="48">
        <v>44909</v>
      </c>
      <c r="B734" s="49">
        <v>93.630899999999997</v>
      </c>
      <c r="C734" s="50">
        <f t="shared" si="25"/>
        <v>44926</v>
      </c>
      <c r="D734" s="51">
        <f t="shared" si="26"/>
        <v>91.551299999999998</v>
      </c>
      <c r="E734" s="52"/>
      <c r="F734" s="53"/>
    </row>
    <row r="735" spans="1:6" x14ac:dyDescent="0.3">
      <c r="A735" s="48">
        <v>44910</v>
      </c>
      <c r="B735" s="49">
        <v>92.537700000000001</v>
      </c>
      <c r="C735" s="50">
        <f t="shared" si="25"/>
        <v>44926</v>
      </c>
      <c r="D735" s="51">
        <f t="shared" si="26"/>
        <v>91.551299999999998</v>
      </c>
      <c r="E735" s="52"/>
      <c r="F735" s="53"/>
    </row>
    <row r="736" spans="1:6" x14ac:dyDescent="0.3">
      <c r="A736" s="48">
        <v>44911</v>
      </c>
      <c r="B736" s="49">
        <v>91.880399999999995</v>
      </c>
      <c r="C736" s="50">
        <f t="shared" si="25"/>
        <v>44926</v>
      </c>
      <c r="D736" s="51">
        <f t="shared" si="26"/>
        <v>91.551299999999998</v>
      </c>
      <c r="E736" s="52"/>
      <c r="F736" s="53"/>
    </row>
    <row r="737" spans="1:6" x14ac:dyDescent="0.3">
      <c r="A737" s="48">
        <v>44914</v>
      </c>
      <c r="B737" s="49">
        <v>92.633899999999997</v>
      </c>
      <c r="C737" s="50">
        <f t="shared" si="25"/>
        <v>44926</v>
      </c>
      <c r="D737" s="51">
        <f t="shared" si="26"/>
        <v>91.551299999999998</v>
      </c>
      <c r="E737" s="52"/>
      <c r="F737" s="53"/>
    </row>
    <row r="738" spans="1:6" x14ac:dyDescent="0.3">
      <c r="A738" s="48">
        <v>44915</v>
      </c>
      <c r="B738" s="49">
        <v>92.647199999999998</v>
      </c>
      <c r="C738" s="50">
        <f t="shared" si="25"/>
        <v>44926</v>
      </c>
      <c r="D738" s="51">
        <f t="shared" si="26"/>
        <v>91.551299999999998</v>
      </c>
      <c r="E738" s="52"/>
      <c r="F738" s="53"/>
    </row>
    <row r="739" spans="1:6" x14ac:dyDescent="0.3">
      <c r="A739" s="48">
        <v>44916</v>
      </c>
      <c r="B739" s="49">
        <v>91.277500000000003</v>
      </c>
      <c r="C739" s="50">
        <f t="shared" si="25"/>
        <v>44926</v>
      </c>
      <c r="D739" s="51">
        <f t="shared" si="26"/>
        <v>91.551299999999998</v>
      </c>
      <c r="E739" s="52"/>
      <c r="F739" s="53"/>
    </row>
    <row r="740" spans="1:6" x14ac:dyDescent="0.3">
      <c r="A740" s="48">
        <v>44917</v>
      </c>
      <c r="B740" s="49">
        <v>90.648099999999999</v>
      </c>
      <c r="C740" s="50">
        <f t="shared" si="25"/>
        <v>44926</v>
      </c>
      <c r="D740" s="51">
        <f t="shared" si="26"/>
        <v>91.551299999999998</v>
      </c>
      <c r="E740" s="52"/>
      <c r="F740" s="53"/>
    </row>
    <row r="741" spans="1:6" x14ac:dyDescent="0.3">
      <c r="A741" s="48">
        <v>44918</v>
      </c>
      <c r="B741" s="49">
        <v>88.255499999999998</v>
      </c>
      <c r="C741" s="50">
        <f t="shared" si="25"/>
        <v>44926</v>
      </c>
      <c r="D741" s="51">
        <f t="shared" si="26"/>
        <v>91.551299999999998</v>
      </c>
      <c r="E741" s="52"/>
      <c r="F741" s="53"/>
    </row>
    <row r="742" spans="1:6" x14ac:dyDescent="0.3">
      <c r="A742" s="48">
        <v>44921</v>
      </c>
      <c r="B742" s="49">
        <v>89.828599999999994</v>
      </c>
      <c r="C742" s="50">
        <f t="shared" si="25"/>
        <v>44926</v>
      </c>
      <c r="D742" s="51">
        <f t="shared" si="26"/>
        <v>91.551299999999998</v>
      </c>
      <c r="E742" s="52"/>
      <c r="F742" s="53"/>
    </row>
    <row r="743" spans="1:6" x14ac:dyDescent="0.3">
      <c r="A743" s="48">
        <v>44922</v>
      </c>
      <c r="B743" s="49">
        <v>90.8215</v>
      </c>
      <c r="C743" s="50">
        <f t="shared" si="25"/>
        <v>44926</v>
      </c>
      <c r="D743" s="51">
        <f t="shared" si="26"/>
        <v>91.551299999999998</v>
      </c>
      <c r="E743" s="52"/>
      <c r="F743" s="53"/>
    </row>
    <row r="744" spans="1:6" x14ac:dyDescent="0.3">
      <c r="A744" s="48">
        <v>44923</v>
      </c>
      <c r="B744" s="49">
        <v>90.753100000000003</v>
      </c>
      <c r="C744" s="50">
        <f t="shared" si="25"/>
        <v>44926</v>
      </c>
      <c r="D744" s="51">
        <f t="shared" si="26"/>
        <v>91.551299999999998</v>
      </c>
      <c r="E744" s="52"/>
      <c r="F744" s="53"/>
    </row>
    <row r="745" spans="1:6" x14ac:dyDescent="0.3">
      <c r="A745" s="48">
        <v>44924</v>
      </c>
      <c r="B745" s="49">
        <v>91.219399999999993</v>
      </c>
      <c r="C745" s="50">
        <f t="shared" si="25"/>
        <v>44926</v>
      </c>
      <c r="D745" s="51">
        <f t="shared" si="26"/>
        <v>91.551299999999998</v>
      </c>
      <c r="E745" s="52"/>
      <c r="F745" s="53"/>
    </row>
    <row r="746" spans="1:6" x14ac:dyDescent="0.3">
      <c r="A746" s="48">
        <v>44925</v>
      </c>
      <c r="B746" s="49">
        <v>91.551299999999998</v>
      </c>
      <c r="C746" s="50">
        <f t="shared" si="25"/>
        <v>44926</v>
      </c>
      <c r="D746" s="51">
        <f t="shared" si="26"/>
        <v>91.551299999999998</v>
      </c>
      <c r="E746" s="52"/>
      <c r="F746" s="53"/>
    </row>
    <row r="747" spans="1:6" x14ac:dyDescent="0.3">
      <c r="A747" s="48">
        <v>44928</v>
      </c>
      <c r="B747" s="49">
        <v>92.384</v>
      </c>
      <c r="C747" s="50">
        <f t="shared" si="25"/>
        <v>44957</v>
      </c>
      <c r="D747" s="51">
        <f t="shared" si="26"/>
        <v>90.233000000000004</v>
      </c>
      <c r="E747" s="52"/>
      <c r="F747" s="53"/>
    </row>
    <row r="748" spans="1:6" x14ac:dyDescent="0.3">
      <c r="A748" s="48">
        <v>44929</v>
      </c>
      <c r="B748" s="49">
        <v>92.900999999999996</v>
      </c>
      <c r="C748" s="50">
        <f t="shared" si="25"/>
        <v>44957</v>
      </c>
      <c r="D748" s="51">
        <f t="shared" si="26"/>
        <v>90.233000000000004</v>
      </c>
      <c r="E748" s="52"/>
      <c r="F748" s="53"/>
    </row>
    <row r="749" spans="1:6" x14ac:dyDescent="0.3">
      <c r="A749" s="48">
        <v>44930</v>
      </c>
      <c r="B749" s="49">
        <v>92.1999</v>
      </c>
      <c r="C749" s="50">
        <f t="shared" si="25"/>
        <v>44957</v>
      </c>
      <c r="D749" s="51">
        <f t="shared" si="26"/>
        <v>90.233000000000004</v>
      </c>
      <c r="E749" s="52"/>
      <c r="F749" s="53"/>
    </row>
    <row r="750" spans="1:6" x14ac:dyDescent="0.3">
      <c r="A750" s="48">
        <v>44931</v>
      </c>
      <c r="B750" s="49">
        <v>92.052300000000002</v>
      </c>
      <c r="C750" s="50">
        <f t="shared" si="25"/>
        <v>44957</v>
      </c>
      <c r="D750" s="51">
        <f t="shared" si="26"/>
        <v>90.233000000000004</v>
      </c>
      <c r="E750" s="52"/>
      <c r="F750" s="53"/>
    </row>
    <row r="751" spans="1:6" x14ac:dyDescent="0.3">
      <c r="A751" s="48">
        <v>44932</v>
      </c>
      <c r="B751" s="49">
        <v>91.477500000000006</v>
      </c>
      <c r="C751" s="50">
        <f t="shared" si="25"/>
        <v>44957</v>
      </c>
      <c r="D751" s="51">
        <f t="shared" si="26"/>
        <v>90.233000000000004</v>
      </c>
      <c r="E751" s="52"/>
      <c r="F751" s="53"/>
    </row>
    <row r="752" spans="1:6" x14ac:dyDescent="0.3">
      <c r="A752" s="48">
        <v>44935</v>
      </c>
      <c r="B752" s="49">
        <v>92.397499999999994</v>
      </c>
      <c r="C752" s="50">
        <f t="shared" si="25"/>
        <v>44957</v>
      </c>
      <c r="D752" s="51">
        <f t="shared" si="26"/>
        <v>90.233000000000004</v>
      </c>
      <c r="E752" s="52"/>
      <c r="F752" s="53"/>
    </row>
    <row r="753" spans="1:6" x14ac:dyDescent="0.3">
      <c r="A753" s="48">
        <v>44936</v>
      </c>
      <c r="B753" s="49">
        <v>91.782899999999998</v>
      </c>
      <c r="C753" s="50">
        <f t="shared" si="25"/>
        <v>44957</v>
      </c>
      <c r="D753" s="51">
        <f t="shared" si="26"/>
        <v>90.233000000000004</v>
      </c>
      <c r="E753" s="52"/>
      <c r="F753" s="53"/>
    </row>
    <row r="754" spans="1:6" x14ac:dyDescent="0.3">
      <c r="A754" s="48">
        <v>44937</v>
      </c>
      <c r="B754" s="49">
        <v>91.988500000000002</v>
      </c>
      <c r="C754" s="50">
        <f t="shared" si="25"/>
        <v>44957</v>
      </c>
      <c r="D754" s="51">
        <f t="shared" si="26"/>
        <v>90.233000000000004</v>
      </c>
      <c r="E754" s="52"/>
      <c r="F754" s="53"/>
    </row>
    <row r="755" spans="1:6" x14ac:dyDescent="0.3">
      <c r="A755" s="48">
        <v>44938</v>
      </c>
      <c r="B755" s="49">
        <v>91.770300000000006</v>
      </c>
      <c r="C755" s="50">
        <f t="shared" si="25"/>
        <v>44957</v>
      </c>
      <c r="D755" s="51">
        <f t="shared" si="26"/>
        <v>90.233000000000004</v>
      </c>
      <c r="E755" s="52"/>
      <c r="F755" s="53"/>
    </row>
    <row r="756" spans="1:6" x14ac:dyDescent="0.3">
      <c r="A756" s="48">
        <v>44939</v>
      </c>
      <c r="B756" s="49">
        <v>92.155900000000003</v>
      </c>
      <c r="C756" s="50">
        <f t="shared" si="25"/>
        <v>44957</v>
      </c>
      <c r="D756" s="51">
        <f t="shared" si="26"/>
        <v>90.233000000000004</v>
      </c>
      <c r="E756" s="52"/>
      <c r="F756" s="53"/>
    </row>
    <row r="757" spans="1:6" x14ac:dyDescent="0.3">
      <c r="A757" s="48">
        <v>44942</v>
      </c>
      <c r="B757" s="49">
        <v>92.259500000000003</v>
      </c>
      <c r="C757" s="50">
        <f t="shared" si="25"/>
        <v>44957</v>
      </c>
      <c r="D757" s="51">
        <f t="shared" si="26"/>
        <v>90.233000000000004</v>
      </c>
      <c r="E757" s="52"/>
      <c r="F757" s="53"/>
    </row>
    <row r="758" spans="1:6" x14ac:dyDescent="0.3">
      <c r="A758" s="48">
        <v>44943</v>
      </c>
      <c r="B758" s="49">
        <v>92.192999999999998</v>
      </c>
      <c r="C758" s="50">
        <f t="shared" si="25"/>
        <v>44957</v>
      </c>
      <c r="D758" s="51">
        <f t="shared" si="26"/>
        <v>90.233000000000004</v>
      </c>
      <c r="E758" s="52"/>
      <c r="F758" s="53"/>
    </row>
    <row r="759" spans="1:6" x14ac:dyDescent="0.3">
      <c r="A759" s="48">
        <v>44944</v>
      </c>
      <c r="B759" s="49">
        <v>92.808099999999996</v>
      </c>
      <c r="C759" s="50">
        <f t="shared" si="25"/>
        <v>44957</v>
      </c>
      <c r="D759" s="51">
        <f t="shared" si="26"/>
        <v>90.233000000000004</v>
      </c>
      <c r="E759" s="52"/>
      <c r="F759" s="53"/>
    </row>
    <row r="760" spans="1:6" x14ac:dyDescent="0.3">
      <c r="A760" s="48">
        <v>44945</v>
      </c>
      <c r="B760" s="49">
        <v>92.870900000000006</v>
      </c>
      <c r="C760" s="50">
        <f t="shared" si="25"/>
        <v>44957</v>
      </c>
      <c r="D760" s="51">
        <f t="shared" si="26"/>
        <v>90.233000000000004</v>
      </c>
      <c r="E760" s="52"/>
      <c r="F760" s="53"/>
    </row>
    <row r="761" spans="1:6" x14ac:dyDescent="0.3">
      <c r="A761" s="48">
        <v>44946</v>
      </c>
      <c r="B761" s="49">
        <v>92.879000000000005</v>
      </c>
      <c r="C761" s="50">
        <f t="shared" si="25"/>
        <v>44957</v>
      </c>
      <c r="D761" s="51">
        <f t="shared" si="26"/>
        <v>90.233000000000004</v>
      </c>
      <c r="E761" s="52"/>
      <c r="F761" s="53"/>
    </row>
    <row r="762" spans="1:6" x14ac:dyDescent="0.3">
      <c r="A762" s="48">
        <v>44949</v>
      </c>
      <c r="B762" s="49">
        <v>93.032200000000003</v>
      </c>
      <c r="C762" s="50">
        <f t="shared" si="25"/>
        <v>44957</v>
      </c>
      <c r="D762" s="51">
        <f t="shared" si="26"/>
        <v>90.233000000000004</v>
      </c>
      <c r="E762" s="52"/>
      <c r="F762" s="53"/>
    </row>
    <row r="763" spans="1:6" x14ac:dyDescent="0.3">
      <c r="A763" s="48">
        <v>44950</v>
      </c>
      <c r="B763" s="49">
        <v>92.929299999999998</v>
      </c>
      <c r="C763" s="50">
        <f t="shared" si="25"/>
        <v>44957</v>
      </c>
      <c r="D763" s="51">
        <f t="shared" si="26"/>
        <v>90.233000000000004</v>
      </c>
      <c r="E763" s="52"/>
      <c r="F763" s="53"/>
    </row>
    <row r="764" spans="1:6" x14ac:dyDescent="0.3">
      <c r="A764" s="48">
        <v>44951</v>
      </c>
      <c r="B764" s="49">
        <v>91.787700000000001</v>
      </c>
      <c r="C764" s="50">
        <f t="shared" si="25"/>
        <v>44957</v>
      </c>
      <c r="D764" s="51">
        <f t="shared" si="26"/>
        <v>90.233000000000004</v>
      </c>
      <c r="E764" s="52"/>
      <c r="F764" s="53"/>
    </row>
    <row r="765" spans="1:6" x14ac:dyDescent="0.3">
      <c r="A765" s="48">
        <v>44953</v>
      </c>
      <c r="B765" s="49">
        <v>89.878299999999996</v>
      </c>
      <c r="C765" s="50">
        <f t="shared" si="25"/>
        <v>44957</v>
      </c>
      <c r="D765" s="51">
        <f t="shared" si="26"/>
        <v>90.233000000000004</v>
      </c>
      <c r="E765" s="52"/>
      <c r="F765" s="53"/>
    </row>
    <row r="766" spans="1:6" x14ac:dyDescent="0.3">
      <c r="A766" s="48">
        <v>44956</v>
      </c>
      <c r="B766" s="49">
        <v>89.543300000000002</v>
      </c>
      <c r="C766" s="50">
        <f t="shared" si="25"/>
        <v>44957</v>
      </c>
      <c r="D766" s="51">
        <f t="shared" si="26"/>
        <v>90.233000000000004</v>
      </c>
      <c r="E766" s="52"/>
      <c r="F766" s="53"/>
    </row>
    <row r="767" spans="1:6" x14ac:dyDescent="0.3">
      <c r="A767" s="48">
        <v>44957</v>
      </c>
      <c r="B767" s="49">
        <v>90.233000000000004</v>
      </c>
      <c r="C767" s="50">
        <f t="shared" si="25"/>
        <v>44957</v>
      </c>
      <c r="D767" s="51">
        <f t="shared" si="26"/>
        <v>90.233000000000004</v>
      </c>
      <c r="E767" s="52"/>
      <c r="F767" s="53"/>
    </row>
    <row r="768" spans="1:6" x14ac:dyDescent="0.3">
      <c r="A768" s="48">
        <v>44958</v>
      </c>
      <c r="B768" s="49">
        <v>89.18</v>
      </c>
      <c r="C768" s="50">
        <f t="shared" si="25"/>
        <v>44985</v>
      </c>
      <c r="D768" s="51">
        <f t="shared" si="26"/>
        <v>87.061700000000002</v>
      </c>
      <c r="E768" s="52"/>
      <c r="F768" s="53"/>
    </row>
    <row r="769" spans="1:6" x14ac:dyDescent="0.3">
      <c r="A769" s="48">
        <v>44959</v>
      </c>
      <c r="B769" s="49">
        <v>89.585400000000007</v>
      </c>
      <c r="C769" s="50">
        <f t="shared" si="25"/>
        <v>44985</v>
      </c>
      <c r="D769" s="51">
        <f t="shared" si="26"/>
        <v>87.061700000000002</v>
      </c>
      <c r="E769" s="52"/>
      <c r="F769" s="53"/>
    </row>
    <row r="770" spans="1:6" x14ac:dyDescent="0.3">
      <c r="A770" s="48">
        <v>44960</v>
      </c>
      <c r="B770" s="49">
        <v>89.163200000000003</v>
      </c>
      <c r="C770" s="50">
        <f t="shared" si="25"/>
        <v>44985</v>
      </c>
      <c r="D770" s="51">
        <f t="shared" si="26"/>
        <v>87.061700000000002</v>
      </c>
      <c r="E770" s="52"/>
      <c r="F770" s="53"/>
    </row>
    <row r="771" spans="1:6" x14ac:dyDescent="0.3">
      <c r="A771" s="48">
        <v>44963</v>
      </c>
      <c r="B771" s="49">
        <v>88.871399999999994</v>
      </c>
      <c r="C771" s="50">
        <f t="shared" ref="C771:C834" si="27">EOMONTH(A771,0)</f>
        <v>44985</v>
      </c>
      <c r="D771" s="51">
        <f t="shared" ref="D771:D834" si="28">INDEX($B$3:$B$2001, MATCH($C771, $A$3:$A$2001, 1))</f>
        <v>87.061700000000002</v>
      </c>
      <c r="E771" s="52"/>
      <c r="F771" s="53"/>
    </row>
    <row r="772" spans="1:6" x14ac:dyDescent="0.3">
      <c r="A772" s="48">
        <v>44964</v>
      </c>
      <c r="B772" s="49">
        <v>88.839100000000002</v>
      </c>
      <c r="C772" s="50">
        <f t="shared" si="27"/>
        <v>44985</v>
      </c>
      <c r="D772" s="51">
        <f t="shared" si="28"/>
        <v>87.061700000000002</v>
      </c>
      <c r="E772" s="52"/>
      <c r="F772" s="53"/>
    </row>
    <row r="773" spans="1:6" x14ac:dyDescent="0.3">
      <c r="A773" s="48">
        <v>44965</v>
      </c>
      <c r="B773" s="49">
        <v>89.324600000000004</v>
      </c>
      <c r="C773" s="50">
        <f t="shared" si="27"/>
        <v>44985</v>
      </c>
      <c r="D773" s="51">
        <f t="shared" si="28"/>
        <v>87.061700000000002</v>
      </c>
      <c r="E773" s="52"/>
      <c r="F773" s="53"/>
    </row>
    <row r="774" spans="1:6" x14ac:dyDescent="0.3">
      <c r="A774" s="48">
        <v>44966</v>
      </c>
      <c r="B774" s="49">
        <v>89.243700000000004</v>
      </c>
      <c r="C774" s="50">
        <f t="shared" si="27"/>
        <v>44985</v>
      </c>
      <c r="D774" s="51">
        <f t="shared" si="28"/>
        <v>87.061700000000002</v>
      </c>
      <c r="E774" s="52"/>
      <c r="F774" s="53"/>
    </row>
    <row r="775" spans="1:6" x14ac:dyDescent="0.3">
      <c r="A775" s="48">
        <v>44967</v>
      </c>
      <c r="B775" s="49">
        <v>89.100999999999999</v>
      </c>
      <c r="C775" s="50">
        <f t="shared" si="27"/>
        <v>44985</v>
      </c>
      <c r="D775" s="51">
        <f t="shared" si="28"/>
        <v>87.061700000000002</v>
      </c>
      <c r="E775" s="52"/>
      <c r="F775" s="53"/>
    </row>
    <row r="776" spans="1:6" x14ac:dyDescent="0.3">
      <c r="A776" s="48">
        <v>44970</v>
      </c>
      <c r="B776" s="49">
        <v>88.8262</v>
      </c>
      <c r="C776" s="50">
        <f t="shared" si="27"/>
        <v>44985</v>
      </c>
      <c r="D776" s="51">
        <f t="shared" si="28"/>
        <v>87.061700000000002</v>
      </c>
      <c r="E776" s="52"/>
      <c r="F776" s="53"/>
    </row>
    <row r="777" spans="1:6" x14ac:dyDescent="0.3">
      <c r="A777" s="48">
        <v>44971</v>
      </c>
      <c r="B777" s="49">
        <v>89.293000000000006</v>
      </c>
      <c r="C777" s="50">
        <f t="shared" si="27"/>
        <v>44985</v>
      </c>
      <c r="D777" s="51">
        <f t="shared" si="28"/>
        <v>87.061700000000002</v>
      </c>
      <c r="E777" s="52"/>
      <c r="F777" s="53"/>
    </row>
    <row r="778" spans="1:6" x14ac:dyDescent="0.3">
      <c r="A778" s="48">
        <v>44972</v>
      </c>
      <c r="B778" s="49">
        <v>89.192899999999995</v>
      </c>
      <c r="C778" s="50">
        <f t="shared" si="27"/>
        <v>44985</v>
      </c>
      <c r="D778" s="51">
        <f t="shared" si="28"/>
        <v>87.061700000000002</v>
      </c>
      <c r="E778" s="52"/>
      <c r="F778" s="53"/>
    </row>
    <row r="779" spans="1:6" x14ac:dyDescent="0.3">
      <c r="A779" s="48">
        <v>44973</v>
      </c>
      <c r="B779" s="49">
        <v>89.441599999999994</v>
      </c>
      <c r="C779" s="50">
        <f t="shared" si="27"/>
        <v>44985</v>
      </c>
      <c r="D779" s="51">
        <f t="shared" si="28"/>
        <v>87.061700000000002</v>
      </c>
      <c r="E779" s="52"/>
      <c r="F779" s="53"/>
    </row>
    <row r="780" spans="1:6" x14ac:dyDescent="0.3">
      <c r="A780" s="48">
        <v>44974</v>
      </c>
      <c r="B780" s="49">
        <v>89.078299999999999</v>
      </c>
      <c r="C780" s="50">
        <f t="shared" si="27"/>
        <v>44985</v>
      </c>
      <c r="D780" s="51">
        <f t="shared" si="28"/>
        <v>87.061700000000002</v>
      </c>
      <c r="E780" s="52"/>
      <c r="F780" s="53"/>
    </row>
    <row r="781" spans="1:6" x14ac:dyDescent="0.3">
      <c r="A781" s="48">
        <v>44977</v>
      </c>
      <c r="B781" s="49">
        <v>88.927499999999995</v>
      </c>
      <c r="C781" s="50">
        <f t="shared" si="27"/>
        <v>44985</v>
      </c>
      <c r="D781" s="51">
        <f t="shared" si="28"/>
        <v>87.061700000000002</v>
      </c>
      <c r="E781" s="52"/>
      <c r="F781" s="53"/>
    </row>
    <row r="782" spans="1:6" x14ac:dyDescent="0.3">
      <c r="A782" s="48">
        <v>44978</v>
      </c>
      <c r="B782" s="49">
        <v>89.004199999999997</v>
      </c>
      <c r="C782" s="50">
        <f t="shared" si="27"/>
        <v>44985</v>
      </c>
      <c r="D782" s="51">
        <f t="shared" si="28"/>
        <v>87.061700000000002</v>
      </c>
      <c r="E782" s="52"/>
      <c r="F782" s="53"/>
    </row>
    <row r="783" spans="1:6" x14ac:dyDescent="0.3">
      <c r="A783" s="48">
        <v>44979</v>
      </c>
      <c r="B783" s="49">
        <v>88.897000000000006</v>
      </c>
      <c r="C783" s="50">
        <f t="shared" si="27"/>
        <v>44985</v>
      </c>
      <c r="D783" s="51">
        <f t="shared" si="28"/>
        <v>87.061700000000002</v>
      </c>
      <c r="E783" s="52"/>
      <c r="F783" s="53"/>
    </row>
    <row r="784" spans="1:6" x14ac:dyDescent="0.3">
      <c r="A784" s="48">
        <v>44980</v>
      </c>
      <c r="B784" s="49">
        <v>88.0976</v>
      </c>
      <c r="C784" s="50">
        <f t="shared" si="27"/>
        <v>44985</v>
      </c>
      <c r="D784" s="51">
        <f t="shared" si="28"/>
        <v>87.061700000000002</v>
      </c>
      <c r="E784" s="52"/>
      <c r="F784" s="53"/>
    </row>
    <row r="785" spans="1:6" x14ac:dyDescent="0.3">
      <c r="A785" s="48">
        <v>44981</v>
      </c>
      <c r="B785" s="49">
        <v>87.545299999999997</v>
      </c>
      <c r="C785" s="50">
        <f t="shared" si="27"/>
        <v>44985</v>
      </c>
      <c r="D785" s="51">
        <f t="shared" si="28"/>
        <v>87.061700000000002</v>
      </c>
      <c r="E785" s="52"/>
      <c r="F785" s="53"/>
    </row>
    <row r="786" spans="1:6" x14ac:dyDescent="0.3">
      <c r="A786" s="48">
        <v>44984</v>
      </c>
      <c r="B786" s="49">
        <v>87.415099999999995</v>
      </c>
      <c r="C786" s="50">
        <f t="shared" si="27"/>
        <v>44985</v>
      </c>
      <c r="D786" s="51">
        <f t="shared" si="28"/>
        <v>87.061700000000002</v>
      </c>
      <c r="E786" s="52"/>
      <c r="F786" s="53"/>
    </row>
    <row r="787" spans="1:6" x14ac:dyDescent="0.3">
      <c r="A787" s="48">
        <v>44985</v>
      </c>
      <c r="B787" s="49">
        <v>87.061700000000002</v>
      </c>
      <c r="C787" s="50">
        <f t="shared" si="27"/>
        <v>44985</v>
      </c>
      <c r="D787" s="51">
        <f t="shared" si="28"/>
        <v>87.061700000000002</v>
      </c>
      <c r="E787" s="52"/>
      <c r="F787" s="53"/>
    </row>
    <row r="788" spans="1:6" x14ac:dyDescent="0.3">
      <c r="A788" s="48">
        <v>44986</v>
      </c>
      <c r="B788" s="49">
        <v>87.626000000000005</v>
      </c>
      <c r="C788" s="50">
        <f t="shared" si="27"/>
        <v>45016</v>
      </c>
      <c r="D788" s="51">
        <f t="shared" si="28"/>
        <v>88.200500000000005</v>
      </c>
      <c r="E788" s="52"/>
      <c r="F788" s="53"/>
    </row>
    <row r="789" spans="1:6" x14ac:dyDescent="0.3">
      <c r="A789" s="48">
        <v>44987</v>
      </c>
      <c r="B789" s="49">
        <v>87.560699999999997</v>
      </c>
      <c r="C789" s="50">
        <f t="shared" si="27"/>
        <v>45016</v>
      </c>
      <c r="D789" s="51">
        <f t="shared" si="28"/>
        <v>88.200500000000005</v>
      </c>
      <c r="E789" s="52"/>
      <c r="F789" s="53"/>
    </row>
    <row r="790" spans="1:6" x14ac:dyDescent="0.3">
      <c r="A790" s="48">
        <v>44988</v>
      </c>
      <c r="B790" s="49">
        <v>88.767099999999999</v>
      </c>
      <c r="C790" s="50">
        <f t="shared" si="27"/>
        <v>45016</v>
      </c>
      <c r="D790" s="51">
        <f t="shared" si="28"/>
        <v>88.200500000000005</v>
      </c>
      <c r="E790" s="52"/>
      <c r="F790" s="53"/>
    </row>
    <row r="791" spans="1:6" x14ac:dyDescent="0.3">
      <c r="A791" s="48">
        <v>44991</v>
      </c>
      <c r="B791" s="49">
        <v>89.164100000000005</v>
      </c>
      <c r="C791" s="50">
        <f t="shared" si="27"/>
        <v>45016</v>
      </c>
      <c r="D791" s="51">
        <f t="shared" si="28"/>
        <v>88.200500000000005</v>
      </c>
      <c r="E791" s="52"/>
      <c r="F791" s="53"/>
    </row>
    <row r="792" spans="1:6" x14ac:dyDescent="0.3">
      <c r="A792" s="48">
        <v>44993</v>
      </c>
      <c r="B792" s="49">
        <v>88.859899999999996</v>
      </c>
      <c r="C792" s="50">
        <f t="shared" si="27"/>
        <v>45016</v>
      </c>
      <c r="D792" s="51">
        <f t="shared" si="28"/>
        <v>88.200500000000005</v>
      </c>
      <c r="E792" s="52"/>
      <c r="F792" s="53"/>
    </row>
    <row r="793" spans="1:6" x14ac:dyDescent="0.3">
      <c r="A793" s="48">
        <v>44994</v>
      </c>
      <c r="B793" s="49">
        <v>88.508600000000001</v>
      </c>
      <c r="C793" s="50">
        <f t="shared" si="27"/>
        <v>45016</v>
      </c>
      <c r="D793" s="51">
        <f t="shared" si="28"/>
        <v>88.200500000000005</v>
      </c>
      <c r="E793" s="52"/>
      <c r="F793" s="53"/>
    </row>
    <row r="794" spans="1:6" x14ac:dyDescent="0.3">
      <c r="A794" s="48">
        <v>44995</v>
      </c>
      <c r="B794" s="49">
        <v>88.092699999999994</v>
      </c>
      <c r="C794" s="50">
        <f t="shared" si="27"/>
        <v>45016</v>
      </c>
      <c r="D794" s="51">
        <f t="shared" si="28"/>
        <v>88.200500000000005</v>
      </c>
      <c r="E794" s="52"/>
      <c r="F794" s="53"/>
    </row>
    <row r="795" spans="1:6" x14ac:dyDescent="0.3">
      <c r="A795" s="48">
        <v>44998</v>
      </c>
      <c r="B795" s="49">
        <v>87.679100000000005</v>
      </c>
      <c r="C795" s="50">
        <f t="shared" si="27"/>
        <v>45016</v>
      </c>
      <c r="D795" s="51">
        <f t="shared" si="28"/>
        <v>88.200500000000005</v>
      </c>
      <c r="E795" s="52"/>
      <c r="F795" s="53"/>
    </row>
    <row r="796" spans="1:6" x14ac:dyDescent="0.3">
      <c r="A796" s="48">
        <v>44999</v>
      </c>
      <c r="B796" s="49">
        <v>87.491399999999999</v>
      </c>
      <c r="C796" s="50">
        <f t="shared" si="27"/>
        <v>45016</v>
      </c>
      <c r="D796" s="51">
        <f t="shared" si="28"/>
        <v>88.200500000000005</v>
      </c>
      <c r="E796" s="52"/>
      <c r="F796" s="53"/>
    </row>
    <row r="797" spans="1:6" x14ac:dyDescent="0.3">
      <c r="A797" s="48">
        <v>45000</v>
      </c>
      <c r="B797" s="49">
        <v>87.014799999999994</v>
      </c>
      <c r="C797" s="50">
        <f t="shared" si="27"/>
        <v>45016</v>
      </c>
      <c r="D797" s="51">
        <f t="shared" si="28"/>
        <v>88.200500000000005</v>
      </c>
      <c r="E797" s="52"/>
      <c r="F797" s="53"/>
    </row>
    <row r="798" spans="1:6" x14ac:dyDescent="0.3">
      <c r="A798" s="48">
        <v>45001</v>
      </c>
      <c r="B798" s="49">
        <v>87.460400000000007</v>
      </c>
      <c r="C798" s="50">
        <f t="shared" si="27"/>
        <v>45016</v>
      </c>
      <c r="D798" s="51">
        <f t="shared" si="28"/>
        <v>88.200500000000005</v>
      </c>
      <c r="E798" s="52"/>
      <c r="F798" s="53"/>
    </row>
    <row r="799" spans="1:6" x14ac:dyDescent="0.3">
      <c r="A799" s="48">
        <v>45002</v>
      </c>
      <c r="B799" s="49">
        <v>87.798699999999997</v>
      </c>
      <c r="C799" s="50">
        <f t="shared" si="27"/>
        <v>45016</v>
      </c>
      <c r="D799" s="51">
        <f t="shared" si="28"/>
        <v>88.200500000000005</v>
      </c>
      <c r="E799" s="52"/>
      <c r="F799" s="53"/>
    </row>
    <row r="800" spans="1:6" x14ac:dyDescent="0.3">
      <c r="A800" s="48">
        <v>45005</v>
      </c>
      <c r="B800" s="49">
        <v>87.690600000000003</v>
      </c>
      <c r="C800" s="50">
        <f t="shared" si="27"/>
        <v>45016</v>
      </c>
      <c r="D800" s="51">
        <f t="shared" si="28"/>
        <v>88.200500000000005</v>
      </c>
      <c r="E800" s="52"/>
      <c r="F800" s="53"/>
    </row>
    <row r="801" spans="1:6" x14ac:dyDescent="0.3">
      <c r="A801" s="48">
        <v>45006</v>
      </c>
      <c r="B801" s="49">
        <v>87.864000000000004</v>
      </c>
      <c r="C801" s="50">
        <f t="shared" si="27"/>
        <v>45016</v>
      </c>
      <c r="D801" s="51">
        <f t="shared" si="28"/>
        <v>88.200500000000005</v>
      </c>
      <c r="E801" s="52"/>
      <c r="F801" s="53"/>
    </row>
    <row r="802" spans="1:6" x14ac:dyDescent="0.3">
      <c r="A802" s="48">
        <v>45007</v>
      </c>
      <c r="B802" s="49">
        <v>87.635300000000001</v>
      </c>
      <c r="C802" s="50">
        <f t="shared" si="27"/>
        <v>45016</v>
      </c>
      <c r="D802" s="51">
        <f t="shared" si="28"/>
        <v>88.200500000000005</v>
      </c>
      <c r="E802" s="52"/>
      <c r="F802" s="53"/>
    </row>
    <row r="803" spans="1:6" x14ac:dyDescent="0.3">
      <c r="A803" s="48">
        <v>45008</v>
      </c>
      <c r="B803" s="49">
        <v>87.326800000000006</v>
      </c>
      <c r="C803" s="50">
        <f t="shared" si="27"/>
        <v>45016</v>
      </c>
      <c r="D803" s="51">
        <f t="shared" si="28"/>
        <v>88.200500000000005</v>
      </c>
      <c r="E803" s="52"/>
      <c r="F803" s="53"/>
    </row>
    <row r="804" spans="1:6" x14ac:dyDescent="0.3">
      <c r="A804" s="48">
        <v>45009</v>
      </c>
      <c r="B804" s="49">
        <v>86.803200000000004</v>
      </c>
      <c r="C804" s="50">
        <f t="shared" si="27"/>
        <v>45016</v>
      </c>
      <c r="D804" s="51">
        <f t="shared" si="28"/>
        <v>88.200500000000005</v>
      </c>
      <c r="E804" s="52"/>
      <c r="F804" s="53"/>
    </row>
    <row r="805" spans="1:6" x14ac:dyDescent="0.3">
      <c r="A805" s="48">
        <v>45012</v>
      </c>
      <c r="B805" s="49">
        <v>86.524600000000007</v>
      </c>
      <c r="C805" s="50">
        <f t="shared" si="27"/>
        <v>45016</v>
      </c>
      <c r="D805" s="51">
        <f t="shared" si="28"/>
        <v>88.200500000000005</v>
      </c>
      <c r="E805" s="52"/>
      <c r="F805" s="53"/>
    </row>
    <row r="806" spans="1:6" x14ac:dyDescent="0.3">
      <c r="A806" s="48">
        <v>45013</v>
      </c>
      <c r="B806" s="49">
        <v>86.302300000000002</v>
      </c>
      <c r="C806" s="50">
        <f t="shared" si="27"/>
        <v>45016</v>
      </c>
      <c r="D806" s="51">
        <f t="shared" si="28"/>
        <v>88.200500000000005</v>
      </c>
      <c r="E806" s="52"/>
      <c r="F806" s="53"/>
    </row>
    <row r="807" spans="1:6" x14ac:dyDescent="0.3">
      <c r="A807" s="48">
        <v>45014</v>
      </c>
      <c r="B807" s="49">
        <v>87.030600000000007</v>
      </c>
      <c r="C807" s="50">
        <f t="shared" si="27"/>
        <v>45016</v>
      </c>
      <c r="D807" s="51">
        <f t="shared" si="28"/>
        <v>88.200500000000005</v>
      </c>
      <c r="E807" s="52"/>
      <c r="F807" s="53"/>
    </row>
    <row r="808" spans="1:6" x14ac:dyDescent="0.3">
      <c r="A808" s="48">
        <v>45016</v>
      </c>
      <c r="B808" s="49">
        <v>88.200500000000005</v>
      </c>
      <c r="C808" s="50">
        <f t="shared" si="27"/>
        <v>45016</v>
      </c>
      <c r="D808" s="51">
        <f t="shared" si="28"/>
        <v>88.200500000000005</v>
      </c>
      <c r="E808" s="52"/>
      <c r="F808" s="53"/>
    </row>
    <row r="809" spans="1:6" x14ac:dyDescent="0.3">
      <c r="A809" s="48">
        <v>45019</v>
      </c>
      <c r="B809" s="49">
        <v>88.173900000000003</v>
      </c>
      <c r="C809" s="50">
        <f t="shared" si="27"/>
        <v>45046</v>
      </c>
      <c r="D809" s="51">
        <f t="shared" si="28"/>
        <v>91.859499999999997</v>
      </c>
      <c r="E809" s="52"/>
      <c r="F809" s="53"/>
    </row>
    <row r="810" spans="1:6" x14ac:dyDescent="0.3">
      <c r="A810" s="48">
        <v>45021</v>
      </c>
      <c r="B810" s="49">
        <v>88.959299999999999</v>
      </c>
      <c r="C810" s="50">
        <f t="shared" si="27"/>
        <v>45046</v>
      </c>
      <c r="D810" s="51">
        <f t="shared" si="28"/>
        <v>91.859499999999997</v>
      </c>
      <c r="E810" s="52"/>
      <c r="F810" s="53"/>
    </row>
    <row r="811" spans="1:6" x14ac:dyDescent="0.3">
      <c r="A811" s="48">
        <v>45022</v>
      </c>
      <c r="B811" s="49">
        <v>89.212199999999996</v>
      </c>
      <c r="C811" s="50">
        <f t="shared" si="27"/>
        <v>45046</v>
      </c>
      <c r="D811" s="51">
        <f t="shared" si="28"/>
        <v>91.859499999999997</v>
      </c>
      <c r="E811" s="52"/>
      <c r="F811" s="53"/>
    </row>
    <row r="812" spans="1:6" x14ac:dyDescent="0.3">
      <c r="A812" s="48">
        <v>45026</v>
      </c>
      <c r="B812" s="49">
        <v>89.474299999999999</v>
      </c>
      <c r="C812" s="50">
        <f t="shared" si="27"/>
        <v>45046</v>
      </c>
      <c r="D812" s="51">
        <f t="shared" si="28"/>
        <v>91.859499999999997</v>
      </c>
      <c r="E812" s="52"/>
      <c r="F812" s="53"/>
    </row>
    <row r="813" spans="1:6" x14ac:dyDescent="0.3">
      <c r="A813" s="48">
        <v>45027</v>
      </c>
      <c r="B813" s="49">
        <v>89.693200000000004</v>
      </c>
      <c r="C813" s="50">
        <f t="shared" si="27"/>
        <v>45046</v>
      </c>
      <c r="D813" s="51">
        <f t="shared" si="28"/>
        <v>91.859499999999997</v>
      </c>
      <c r="E813" s="52"/>
      <c r="F813" s="53"/>
    </row>
    <row r="814" spans="1:6" x14ac:dyDescent="0.3">
      <c r="A814" s="48">
        <v>45028</v>
      </c>
      <c r="B814" s="49">
        <v>89.672899999999998</v>
      </c>
      <c r="C814" s="50">
        <f t="shared" si="27"/>
        <v>45046</v>
      </c>
      <c r="D814" s="51">
        <f t="shared" si="28"/>
        <v>91.859499999999997</v>
      </c>
      <c r="E814" s="52"/>
      <c r="F814" s="53"/>
    </row>
    <row r="815" spans="1:6" x14ac:dyDescent="0.3">
      <c r="A815" s="48">
        <v>45029</v>
      </c>
      <c r="B815" s="49">
        <v>89.793899999999994</v>
      </c>
      <c r="C815" s="50">
        <f t="shared" si="27"/>
        <v>45046</v>
      </c>
      <c r="D815" s="51">
        <f t="shared" si="28"/>
        <v>91.859499999999997</v>
      </c>
      <c r="E815" s="52"/>
      <c r="F815" s="53"/>
    </row>
    <row r="816" spans="1:6" x14ac:dyDescent="0.3">
      <c r="A816" s="48">
        <v>45033</v>
      </c>
      <c r="B816" s="49">
        <v>89.776600000000002</v>
      </c>
      <c r="C816" s="50">
        <f t="shared" si="27"/>
        <v>45046</v>
      </c>
      <c r="D816" s="51">
        <f t="shared" si="28"/>
        <v>91.859499999999997</v>
      </c>
      <c r="E816" s="52"/>
      <c r="F816" s="53"/>
    </row>
    <row r="817" spans="1:6" x14ac:dyDescent="0.3">
      <c r="A817" s="48">
        <v>45034</v>
      </c>
      <c r="B817" s="49">
        <v>89.677199999999999</v>
      </c>
      <c r="C817" s="50">
        <f t="shared" si="27"/>
        <v>45046</v>
      </c>
      <c r="D817" s="51">
        <f t="shared" si="28"/>
        <v>91.859499999999997</v>
      </c>
      <c r="E817" s="52"/>
      <c r="F817" s="53"/>
    </row>
    <row r="818" spans="1:6" x14ac:dyDescent="0.3">
      <c r="A818" s="48">
        <v>45035</v>
      </c>
      <c r="B818" s="49">
        <v>89.421800000000005</v>
      </c>
      <c r="C818" s="50">
        <f t="shared" si="27"/>
        <v>45046</v>
      </c>
      <c r="D818" s="51">
        <f t="shared" si="28"/>
        <v>91.859499999999997</v>
      </c>
      <c r="E818" s="52"/>
      <c r="F818" s="53"/>
    </row>
    <row r="819" spans="1:6" x14ac:dyDescent="0.3">
      <c r="A819" s="48">
        <v>45036</v>
      </c>
      <c r="B819" s="49">
        <v>89.863699999999994</v>
      </c>
      <c r="C819" s="50">
        <f t="shared" si="27"/>
        <v>45046</v>
      </c>
      <c r="D819" s="51">
        <f t="shared" si="28"/>
        <v>91.859499999999997</v>
      </c>
      <c r="E819" s="52"/>
      <c r="F819" s="53"/>
    </row>
    <row r="820" spans="1:6" x14ac:dyDescent="0.3">
      <c r="A820" s="48">
        <v>45037</v>
      </c>
      <c r="B820" s="49">
        <v>89.821299999999994</v>
      </c>
      <c r="C820" s="50">
        <f t="shared" si="27"/>
        <v>45046</v>
      </c>
      <c r="D820" s="51">
        <f t="shared" si="28"/>
        <v>91.859499999999997</v>
      </c>
      <c r="E820" s="52"/>
      <c r="F820" s="53"/>
    </row>
    <row r="821" spans="1:6" x14ac:dyDescent="0.3">
      <c r="A821" s="48">
        <v>45040</v>
      </c>
      <c r="B821" s="49">
        <v>90.258200000000002</v>
      </c>
      <c r="C821" s="50">
        <f t="shared" si="27"/>
        <v>45046</v>
      </c>
      <c r="D821" s="51">
        <f t="shared" si="28"/>
        <v>91.859499999999997</v>
      </c>
      <c r="E821" s="52"/>
      <c r="F821" s="53"/>
    </row>
    <row r="822" spans="1:6" x14ac:dyDescent="0.3">
      <c r="A822" s="48">
        <v>45041</v>
      </c>
      <c r="B822" s="49">
        <v>90.482699999999994</v>
      </c>
      <c r="C822" s="50">
        <f t="shared" si="27"/>
        <v>45046</v>
      </c>
      <c r="D822" s="51">
        <f t="shared" si="28"/>
        <v>91.859499999999997</v>
      </c>
      <c r="E822" s="52"/>
      <c r="F822" s="53"/>
    </row>
    <row r="823" spans="1:6" x14ac:dyDescent="0.3">
      <c r="A823" s="48">
        <v>45042</v>
      </c>
      <c r="B823" s="49">
        <v>90.707300000000004</v>
      </c>
      <c r="C823" s="50">
        <f t="shared" si="27"/>
        <v>45046</v>
      </c>
      <c r="D823" s="51">
        <f t="shared" si="28"/>
        <v>91.859499999999997</v>
      </c>
      <c r="E823" s="52"/>
      <c r="F823" s="53"/>
    </row>
    <row r="824" spans="1:6" x14ac:dyDescent="0.3">
      <c r="A824" s="48">
        <v>45043</v>
      </c>
      <c r="B824" s="49">
        <v>91.025899999999993</v>
      </c>
      <c r="C824" s="50">
        <f t="shared" si="27"/>
        <v>45046</v>
      </c>
      <c r="D824" s="51">
        <f t="shared" si="28"/>
        <v>91.859499999999997</v>
      </c>
      <c r="E824" s="52"/>
      <c r="F824" s="53"/>
    </row>
    <row r="825" spans="1:6" x14ac:dyDescent="0.3">
      <c r="A825" s="48">
        <v>45044</v>
      </c>
      <c r="B825" s="49">
        <v>91.859499999999997</v>
      </c>
      <c r="C825" s="50">
        <f t="shared" si="27"/>
        <v>45046</v>
      </c>
      <c r="D825" s="51">
        <f t="shared" si="28"/>
        <v>91.859499999999997</v>
      </c>
      <c r="E825" s="52"/>
      <c r="F825" s="53"/>
    </row>
    <row r="826" spans="1:6" x14ac:dyDescent="0.3">
      <c r="A826" s="48">
        <v>45048</v>
      </c>
      <c r="B826" s="49">
        <v>92.132599999999996</v>
      </c>
      <c r="C826" s="50">
        <f t="shared" si="27"/>
        <v>45077</v>
      </c>
      <c r="D826" s="51">
        <f t="shared" si="28"/>
        <v>91.222099999999998</v>
      </c>
      <c r="E826" s="52"/>
      <c r="F826" s="53"/>
    </row>
    <row r="827" spans="1:6" x14ac:dyDescent="0.3">
      <c r="A827" s="48">
        <v>45049</v>
      </c>
      <c r="B827" s="49">
        <v>92.300899999999999</v>
      </c>
      <c r="C827" s="50">
        <f t="shared" si="27"/>
        <v>45077</v>
      </c>
      <c r="D827" s="51">
        <f t="shared" si="28"/>
        <v>91.222099999999998</v>
      </c>
      <c r="E827" s="52"/>
      <c r="F827" s="53"/>
    </row>
    <row r="828" spans="1:6" x14ac:dyDescent="0.3">
      <c r="A828" s="48">
        <v>45050</v>
      </c>
      <c r="B828" s="49">
        <v>92.868899999999996</v>
      </c>
      <c r="C828" s="50">
        <f t="shared" si="27"/>
        <v>45077</v>
      </c>
      <c r="D828" s="51">
        <f t="shared" si="28"/>
        <v>91.222099999999998</v>
      </c>
      <c r="E828" s="52"/>
      <c r="F828" s="53"/>
    </row>
    <row r="829" spans="1:6" x14ac:dyDescent="0.3">
      <c r="A829" s="48">
        <v>45051</v>
      </c>
      <c r="B829" s="49">
        <v>92.305300000000003</v>
      </c>
      <c r="C829" s="50">
        <f t="shared" si="27"/>
        <v>45077</v>
      </c>
      <c r="D829" s="51">
        <f t="shared" si="28"/>
        <v>91.222099999999998</v>
      </c>
      <c r="E829" s="52"/>
      <c r="F829" s="53"/>
    </row>
    <row r="830" spans="1:6" x14ac:dyDescent="0.3">
      <c r="A830" s="48">
        <v>45054</v>
      </c>
      <c r="B830" s="49">
        <v>92.690399999999997</v>
      </c>
      <c r="C830" s="50">
        <f t="shared" si="27"/>
        <v>45077</v>
      </c>
      <c r="D830" s="51">
        <f t="shared" si="28"/>
        <v>91.222099999999998</v>
      </c>
      <c r="E830" s="52"/>
      <c r="F830" s="53"/>
    </row>
    <row r="831" spans="1:6" x14ac:dyDescent="0.3">
      <c r="A831" s="48">
        <v>45055</v>
      </c>
      <c r="B831" s="49">
        <v>92.484399999999994</v>
      </c>
      <c r="C831" s="50">
        <f t="shared" si="27"/>
        <v>45077</v>
      </c>
      <c r="D831" s="51">
        <f t="shared" si="28"/>
        <v>91.222099999999998</v>
      </c>
      <c r="E831" s="52"/>
      <c r="F831" s="53"/>
    </row>
    <row r="832" spans="1:6" x14ac:dyDescent="0.3">
      <c r="A832" s="48">
        <v>45056</v>
      </c>
      <c r="B832" s="49">
        <v>92.602800000000002</v>
      </c>
      <c r="C832" s="50">
        <f t="shared" si="27"/>
        <v>45077</v>
      </c>
      <c r="D832" s="51">
        <f t="shared" si="28"/>
        <v>91.222099999999998</v>
      </c>
      <c r="E832" s="52"/>
      <c r="F832" s="53"/>
    </row>
    <row r="833" spans="1:6" x14ac:dyDescent="0.3">
      <c r="A833" s="48">
        <v>45057</v>
      </c>
      <c r="B833" s="49">
        <v>92.154300000000006</v>
      </c>
      <c r="C833" s="50">
        <f t="shared" si="27"/>
        <v>45077</v>
      </c>
      <c r="D833" s="51">
        <f t="shared" si="28"/>
        <v>91.222099999999998</v>
      </c>
      <c r="E833" s="52"/>
      <c r="F833" s="53"/>
    </row>
    <row r="834" spans="1:6" x14ac:dyDescent="0.3">
      <c r="A834" s="48">
        <v>45058</v>
      </c>
      <c r="B834" s="49">
        <v>91.800799999999995</v>
      </c>
      <c r="C834" s="50">
        <f t="shared" si="27"/>
        <v>45077</v>
      </c>
      <c r="D834" s="51">
        <f t="shared" si="28"/>
        <v>91.222099999999998</v>
      </c>
      <c r="E834" s="52"/>
      <c r="F834" s="53"/>
    </row>
    <row r="835" spans="1:6" x14ac:dyDescent="0.3">
      <c r="A835" s="48">
        <v>45061</v>
      </c>
      <c r="B835" s="49">
        <v>92.405199999999994</v>
      </c>
      <c r="C835" s="50">
        <f t="shared" ref="C835:C898" si="29">EOMONTH(A835,0)</f>
        <v>45077</v>
      </c>
      <c r="D835" s="51">
        <f t="shared" ref="D835:D898" si="30">INDEX($B$3:$B$2001, MATCH($C835, $A$3:$A$2001, 1))</f>
        <v>91.222099999999998</v>
      </c>
      <c r="E835" s="52"/>
      <c r="F835" s="53"/>
    </row>
    <row r="836" spans="1:6" x14ac:dyDescent="0.3">
      <c r="A836" s="48">
        <v>45062</v>
      </c>
      <c r="B836" s="49">
        <v>92.226200000000006</v>
      </c>
      <c r="C836" s="50">
        <f t="shared" si="29"/>
        <v>45077</v>
      </c>
      <c r="D836" s="51">
        <f t="shared" si="30"/>
        <v>91.222099999999998</v>
      </c>
      <c r="E836" s="52"/>
      <c r="F836" s="53"/>
    </row>
    <row r="837" spans="1:6" x14ac:dyDescent="0.3">
      <c r="A837" s="48">
        <v>45063</v>
      </c>
      <c r="B837" s="49">
        <v>91.810299999999998</v>
      </c>
      <c r="C837" s="50">
        <f t="shared" si="29"/>
        <v>45077</v>
      </c>
      <c r="D837" s="51">
        <f t="shared" si="30"/>
        <v>91.222099999999998</v>
      </c>
      <c r="E837" s="52"/>
      <c r="F837" s="53"/>
    </row>
    <row r="838" spans="1:6" x14ac:dyDescent="0.3">
      <c r="A838" s="48">
        <v>45064</v>
      </c>
      <c r="B838" s="49">
        <v>91.374200000000002</v>
      </c>
      <c r="C838" s="50">
        <f t="shared" si="29"/>
        <v>45077</v>
      </c>
      <c r="D838" s="51">
        <f t="shared" si="30"/>
        <v>91.222099999999998</v>
      </c>
      <c r="E838" s="52"/>
      <c r="F838" s="53"/>
    </row>
    <row r="839" spans="1:6" x14ac:dyDescent="0.3">
      <c r="A839" s="48">
        <v>45065</v>
      </c>
      <c r="B839" s="49">
        <v>91.341700000000003</v>
      </c>
      <c r="C839" s="50">
        <f t="shared" si="29"/>
        <v>45077</v>
      </c>
      <c r="D839" s="51">
        <f t="shared" si="30"/>
        <v>91.222099999999998</v>
      </c>
      <c r="E839" s="52"/>
      <c r="F839" s="53"/>
    </row>
    <row r="840" spans="1:6" x14ac:dyDescent="0.3">
      <c r="A840" s="48">
        <v>45068</v>
      </c>
      <c r="B840" s="49">
        <v>91.770399999999995</v>
      </c>
      <c r="C840" s="50">
        <f t="shared" si="29"/>
        <v>45077</v>
      </c>
      <c r="D840" s="51">
        <f t="shared" si="30"/>
        <v>91.222099999999998</v>
      </c>
      <c r="E840" s="52"/>
      <c r="F840" s="53"/>
    </row>
    <row r="841" spans="1:6" x14ac:dyDescent="0.3">
      <c r="A841" s="48">
        <v>45069</v>
      </c>
      <c r="B841" s="49">
        <v>91.309200000000004</v>
      </c>
      <c r="C841" s="50">
        <f t="shared" si="29"/>
        <v>45077</v>
      </c>
      <c r="D841" s="51">
        <f t="shared" si="30"/>
        <v>91.222099999999998</v>
      </c>
      <c r="E841" s="52"/>
      <c r="F841" s="53"/>
    </row>
    <row r="842" spans="1:6" x14ac:dyDescent="0.3">
      <c r="A842" s="48">
        <v>45070</v>
      </c>
      <c r="B842" s="49">
        <v>91.308599999999998</v>
      </c>
      <c r="C842" s="50">
        <f t="shared" si="29"/>
        <v>45077</v>
      </c>
      <c r="D842" s="51">
        <f t="shared" si="30"/>
        <v>91.222099999999998</v>
      </c>
      <c r="E842" s="52"/>
      <c r="F842" s="53"/>
    </row>
    <row r="843" spans="1:6" x14ac:dyDescent="0.3">
      <c r="A843" s="48">
        <v>45071</v>
      </c>
      <c r="B843" s="49">
        <v>91.269900000000007</v>
      </c>
      <c r="C843" s="50">
        <f t="shared" si="29"/>
        <v>45077</v>
      </c>
      <c r="D843" s="51">
        <f t="shared" si="30"/>
        <v>91.222099999999998</v>
      </c>
      <c r="E843" s="52"/>
      <c r="F843" s="53"/>
    </row>
    <row r="844" spans="1:6" x14ac:dyDescent="0.3">
      <c r="A844" s="48">
        <v>45072</v>
      </c>
      <c r="B844" s="49">
        <v>91.570400000000006</v>
      </c>
      <c r="C844" s="50">
        <f t="shared" si="29"/>
        <v>45077</v>
      </c>
      <c r="D844" s="51">
        <f t="shared" si="30"/>
        <v>91.222099999999998</v>
      </c>
      <c r="E844" s="52"/>
      <c r="F844" s="53"/>
    </row>
    <row r="845" spans="1:6" x14ac:dyDescent="0.3">
      <c r="A845" s="48">
        <v>45075</v>
      </c>
      <c r="B845" s="49">
        <v>91.743499999999997</v>
      </c>
      <c r="C845" s="50">
        <f t="shared" si="29"/>
        <v>45077</v>
      </c>
      <c r="D845" s="51">
        <f t="shared" si="30"/>
        <v>91.222099999999998</v>
      </c>
      <c r="E845" s="52"/>
      <c r="F845" s="53"/>
    </row>
    <row r="846" spans="1:6" x14ac:dyDescent="0.3">
      <c r="A846" s="48">
        <v>45076</v>
      </c>
      <c r="B846" s="49">
        <v>91.630099999999999</v>
      </c>
      <c r="C846" s="50">
        <f t="shared" si="29"/>
        <v>45077</v>
      </c>
      <c r="D846" s="51">
        <f t="shared" si="30"/>
        <v>91.222099999999998</v>
      </c>
      <c r="E846" s="52"/>
      <c r="F846" s="53"/>
    </row>
    <row r="847" spans="1:6" x14ac:dyDescent="0.3">
      <c r="A847" s="48">
        <v>45077</v>
      </c>
      <c r="B847" s="49">
        <v>91.222099999999998</v>
      </c>
      <c r="C847" s="50">
        <f t="shared" si="29"/>
        <v>45077</v>
      </c>
      <c r="D847" s="51">
        <f t="shared" si="30"/>
        <v>91.222099999999998</v>
      </c>
      <c r="E847" s="52"/>
      <c r="F847" s="53"/>
    </row>
    <row r="848" spans="1:6" x14ac:dyDescent="0.3">
      <c r="A848" s="48">
        <v>45078</v>
      </c>
      <c r="B848" s="49">
        <v>91.189099999999996</v>
      </c>
      <c r="C848" s="50">
        <f t="shared" si="29"/>
        <v>45107</v>
      </c>
      <c r="D848" s="51">
        <f t="shared" si="30"/>
        <v>94.628799999999998</v>
      </c>
      <c r="E848" s="52"/>
      <c r="F848" s="53"/>
    </row>
    <row r="849" spans="1:6" x14ac:dyDescent="0.3">
      <c r="A849" s="48">
        <v>45079</v>
      </c>
      <c r="B849" s="49">
        <v>91.587199999999996</v>
      </c>
      <c r="C849" s="50">
        <f t="shared" si="29"/>
        <v>45107</v>
      </c>
      <c r="D849" s="51">
        <f t="shared" si="30"/>
        <v>94.628799999999998</v>
      </c>
      <c r="E849" s="52"/>
      <c r="F849" s="53"/>
    </row>
    <row r="850" spans="1:6" x14ac:dyDescent="0.3">
      <c r="A850" s="48">
        <v>45082</v>
      </c>
      <c r="B850" s="49">
        <v>91.456699999999998</v>
      </c>
      <c r="C850" s="50">
        <f t="shared" si="29"/>
        <v>45107</v>
      </c>
      <c r="D850" s="51">
        <f t="shared" si="30"/>
        <v>94.628799999999998</v>
      </c>
      <c r="E850" s="52"/>
      <c r="F850" s="53"/>
    </row>
    <row r="851" spans="1:6" x14ac:dyDescent="0.3">
      <c r="A851" s="48">
        <v>45083</v>
      </c>
      <c r="B851" s="49">
        <v>91.712299999999999</v>
      </c>
      <c r="C851" s="50">
        <f t="shared" si="29"/>
        <v>45107</v>
      </c>
      <c r="D851" s="51">
        <f t="shared" si="30"/>
        <v>94.628799999999998</v>
      </c>
      <c r="E851" s="52"/>
      <c r="F851" s="53"/>
    </row>
    <row r="852" spans="1:6" x14ac:dyDescent="0.3">
      <c r="A852" s="48">
        <v>45084</v>
      </c>
      <c r="B852" s="49">
        <v>92.046099999999996</v>
      </c>
      <c r="C852" s="50">
        <f t="shared" si="29"/>
        <v>45107</v>
      </c>
      <c r="D852" s="51">
        <f t="shared" si="30"/>
        <v>94.628799999999998</v>
      </c>
      <c r="E852" s="52"/>
      <c r="F852" s="53"/>
    </row>
    <row r="853" spans="1:6" x14ac:dyDescent="0.3">
      <c r="A853" s="48">
        <v>45085</v>
      </c>
      <c r="B853" s="49">
        <v>92.075500000000005</v>
      </c>
      <c r="C853" s="50">
        <f t="shared" si="29"/>
        <v>45107</v>
      </c>
      <c r="D853" s="51">
        <f t="shared" si="30"/>
        <v>94.628799999999998</v>
      </c>
      <c r="E853" s="52"/>
      <c r="F853" s="53"/>
    </row>
    <row r="854" spans="1:6" x14ac:dyDescent="0.3">
      <c r="A854" s="48">
        <v>45086</v>
      </c>
      <c r="B854" s="49">
        <v>92.301400000000001</v>
      </c>
      <c r="C854" s="50">
        <f t="shared" si="29"/>
        <v>45107</v>
      </c>
      <c r="D854" s="51">
        <f t="shared" si="30"/>
        <v>94.628799999999998</v>
      </c>
      <c r="E854" s="52"/>
      <c r="F854" s="53"/>
    </row>
    <row r="855" spans="1:6" x14ac:dyDescent="0.3">
      <c r="A855" s="48">
        <v>45089</v>
      </c>
      <c r="B855" s="49">
        <v>92.361699999999999</v>
      </c>
      <c r="C855" s="50">
        <f t="shared" si="29"/>
        <v>45107</v>
      </c>
      <c r="D855" s="51">
        <f t="shared" si="30"/>
        <v>94.628799999999998</v>
      </c>
      <c r="E855" s="52"/>
      <c r="F855" s="53"/>
    </row>
    <row r="856" spans="1:6" x14ac:dyDescent="0.3">
      <c r="A856" s="48">
        <v>45090</v>
      </c>
      <c r="B856" s="49">
        <v>92.6952</v>
      </c>
      <c r="C856" s="50">
        <f t="shared" si="29"/>
        <v>45107</v>
      </c>
      <c r="D856" s="51">
        <f t="shared" si="30"/>
        <v>94.628799999999998</v>
      </c>
      <c r="E856" s="52"/>
      <c r="F856" s="53"/>
    </row>
    <row r="857" spans="1:6" x14ac:dyDescent="0.3">
      <c r="A857" s="48">
        <v>45091</v>
      </c>
      <c r="B857" s="49">
        <v>92.806200000000004</v>
      </c>
      <c r="C857" s="50">
        <f t="shared" si="29"/>
        <v>45107</v>
      </c>
      <c r="D857" s="51">
        <f t="shared" si="30"/>
        <v>94.628799999999998</v>
      </c>
      <c r="E857" s="52"/>
      <c r="F857" s="53"/>
    </row>
    <row r="858" spans="1:6" x14ac:dyDescent="0.3">
      <c r="A858" s="48">
        <v>45092</v>
      </c>
      <c r="B858" s="49">
        <v>92.470799999999997</v>
      </c>
      <c r="C858" s="50">
        <f t="shared" si="29"/>
        <v>45107</v>
      </c>
      <c r="D858" s="51">
        <f t="shared" si="30"/>
        <v>94.628799999999998</v>
      </c>
      <c r="E858" s="52"/>
      <c r="F858" s="53"/>
    </row>
    <row r="859" spans="1:6" x14ac:dyDescent="0.3">
      <c r="A859" s="48">
        <v>45093</v>
      </c>
      <c r="B859" s="49">
        <v>93.025499999999994</v>
      </c>
      <c r="C859" s="50">
        <f t="shared" si="29"/>
        <v>45107</v>
      </c>
      <c r="D859" s="51">
        <f t="shared" si="30"/>
        <v>94.628799999999998</v>
      </c>
      <c r="E859" s="52"/>
      <c r="F859" s="53"/>
    </row>
    <row r="860" spans="1:6" x14ac:dyDescent="0.3">
      <c r="A860" s="48">
        <v>45096</v>
      </c>
      <c r="B860" s="49">
        <v>93.075199999999995</v>
      </c>
      <c r="C860" s="50">
        <f t="shared" si="29"/>
        <v>45107</v>
      </c>
      <c r="D860" s="51">
        <f t="shared" si="30"/>
        <v>94.628799999999998</v>
      </c>
      <c r="E860" s="52"/>
      <c r="F860" s="53"/>
    </row>
    <row r="861" spans="1:6" x14ac:dyDescent="0.3">
      <c r="A861" s="48">
        <v>45097</v>
      </c>
      <c r="B861" s="49">
        <v>93.198499999999996</v>
      </c>
      <c r="C861" s="50">
        <f t="shared" si="29"/>
        <v>45107</v>
      </c>
      <c r="D861" s="51">
        <f t="shared" si="30"/>
        <v>94.628799999999998</v>
      </c>
      <c r="E861" s="52"/>
      <c r="F861" s="53"/>
    </row>
    <row r="862" spans="1:6" x14ac:dyDescent="0.3">
      <c r="A862" s="48">
        <v>45098</v>
      </c>
      <c r="B862" s="49">
        <v>93.1982</v>
      </c>
      <c r="C862" s="50">
        <f t="shared" si="29"/>
        <v>45107</v>
      </c>
      <c r="D862" s="51">
        <f t="shared" si="30"/>
        <v>94.628799999999998</v>
      </c>
      <c r="E862" s="52"/>
      <c r="F862" s="53"/>
    </row>
    <row r="863" spans="1:6" x14ac:dyDescent="0.3">
      <c r="A863" s="48">
        <v>45099</v>
      </c>
      <c r="B863" s="49">
        <v>92.992900000000006</v>
      </c>
      <c r="C863" s="50">
        <f t="shared" si="29"/>
        <v>45107</v>
      </c>
      <c r="D863" s="51">
        <f t="shared" si="30"/>
        <v>94.628799999999998</v>
      </c>
      <c r="E863" s="52"/>
      <c r="F863" s="53"/>
    </row>
    <row r="864" spans="1:6" x14ac:dyDescent="0.3">
      <c r="A864" s="48">
        <v>45100</v>
      </c>
      <c r="B864" s="49">
        <v>92.852800000000002</v>
      </c>
      <c r="C864" s="50">
        <f t="shared" si="29"/>
        <v>45107</v>
      </c>
      <c r="D864" s="51">
        <f t="shared" si="30"/>
        <v>94.628799999999998</v>
      </c>
      <c r="E864" s="52"/>
      <c r="F864" s="53"/>
    </row>
    <row r="865" spans="1:6" x14ac:dyDescent="0.3">
      <c r="A865" s="48">
        <v>45103</v>
      </c>
      <c r="B865" s="49">
        <v>92.817899999999995</v>
      </c>
      <c r="C865" s="50">
        <f t="shared" si="29"/>
        <v>45107</v>
      </c>
      <c r="D865" s="51">
        <f t="shared" si="30"/>
        <v>94.628799999999998</v>
      </c>
      <c r="E865" s="52"/>
      <c r="F865" s="53"/>
    </row>
    <row r="866" spans="1:6" x14ac:dyDescent="0.3">
      <c r="A866" s="48">
        <v>45104</v>
      </c>
      <c r="B866" s="49">
        <v>92.986599999999996</v>
      </c>
      <c r="C866" s="50">
        <f t="shared" si="29"/>
        <v>45107</v>
      </c>
      <c r="D866" s="51">
        <f t="shared" si="30"/>
        <v>94.628799999999998</v>
      </c>
      <c r="E866" s="52"/>
      <c r="F866" s="53"/>
    </row>
    <row r="867" spans="1:6" x14ac:dyDescent="0.3">
      <c r="A867" s="48">
        <v>45105</v>
      </c>
      <c r="B867" s="49">
        <v>94.556899999999999</v>
      </c>
      <c r="C867" s="50">
        <f t="shared" si="29"/>
        <v>45107</v>
      </c>
      <c r="D867" s="51">
        <f t="shared" si="30"/>
        <v>94.628799999999998</v>
      </c>
      <c r="E867" s="52"/>
      <c r="F867" s="53"/>
    </row>
    <row r="868" spans="1:6" x14ac:dyDescent="0.3">
      <c r="A868" s="48">
        <v>45107</v>
      </c>
      <c r="B868" s="49">
        <v>94.628799999999998</v>
      </c>
      <c r="C868" s="50">
        <f t="shared" si="29"/>
        <v>45107</v>
      </c>
      <c r="D868" s="51">
        <f t="shared" si="30"/>
        <v>94.628799999999998</v>
      </c>
      <c r="E868" s="52"/>
      <c r="F868" s="53"/>
    </row>
    <row r="869" spans="1:6" x14ac:dyDescent="0.3">
      <c r="A869" s="48">
        <v>45110</v>
      </c>
      <c r="B869" s="49">
        <v>95.084900000000005</v>
      </c>
      <c r="C869" s="50">
        <f t="shared" si="29"/>
        <v>45138</v>
      </c>
      <c r="D869" s="51">
        <f t="shared" si="30"/>
        <v>99.491399999999999</v>
      </c>
      <c r="E869" s="52"/>
      <c r="F869" s="53"/>
    </row>
    <row r="870" spans="1:6" x14ac:dyDescent="0.3">
      <c r="A870" s="48">
        <v>45111</v>
      </c>
      <c r="B870" s="49">
        <v>94.959100000000007</v>
      </c>
      <c r="C870" s="50">
        <f t="shared" si="29"/>
        <v>45138</v>
      </c>
      <c r="D870" s="51">
        <f t="shared" si="30"/>
        <v>99.491399999999999</v>
      </c>
      <c r="E870" s="52"/>
      <c r="F870" s="53"/>
    </row>
    <row r="871" spans="1:6" x14ac:dyDescent="0.3">
      <c r="A871" s="48">
        <v>45112</v>
      </c>
      <c r="B871" s="49">
        <v>95.142099999999999</v>
      </c>
      <c r="C871" s="50">
        <f t="shared" si="29"/>
        <v>45138</v>
      </c>
      <c r="D871" s="51">
        <f t="shared" si="30"/>
        <v>99.491399999999999</v>
      </c>
      <c r="E871" s="52"/>
      <c r="F871" s="53"/>
    </row>
    <row r="872" spans="1:6" x14ac:dyDescent="0.3">
      <c r="A872" s="48">
        <v>45113</v>
      </c>
      <c r="B872" s="49">
        <v>95.651799999999994</v>
      </c>
      <c r="C872" s="50">
        <f t="shared" si="29"/>
        <v>45138</v>
      </c>
      <c r="D872" s="51">
        <f t="shared" si="30"/>
        <v>99.491399999999999</v>
      </c>
      <c r="E872" s="52"/>
      <c r="F872" s="53"/>
    </row>
    <row r="873" spans="1:6" x14ac:dyDescent="0.3">
      <c r="A873" s="48">
        <v>45114</v>
      </c>
      <c r="B873" s="49">
        <v>95.283000000000001</v>
      </c>
      <c r="C873" s="50">
        <f t="shared" si="29"/>
        <v>45138</v>
      </c>
      <c r="D873" s="51">
        <f t="shared" si="30"/>
        <v>99.491399999999999</v>
      </c>
      <c r="E873" s="52"/>
      <c r="F873" s="53"/>
    </row>
    <row r="874" spans="1:6" x14ac:dyDescent="0.3">
      <c r="A874" s="48">
        <v>45117</v>
      </c>
      <c r="B874" s="49">
        <v>95.623199999999997</v>
      </c>
      <c r="C874" s="50">
        <f t="shared" si="29"/>
        <v>45138</v>
      </c>
      <c r="D874" s="51">
        <f t="shared" si="30"/>
        <v>99.491399999999999</v>
      </c>
      <c r="E874" s="52"/>
      <c r="F874" s="53"/>
    </row>
    <row r="875" spans="1:6" x14ac:dyDescent="0.3">
      <c r="A875" s="48">
        <v>45118</v>
      </c>
      <c r="B875" s="49">
        <v>95.857500000000002</v>
      </c>
      <c r="C875" s="50">
        <f t="shared" si="29"/>
        <v>45138</v>
      </c>
      <c r="D875" s="51">
        <f t="shared" si="30"/>
        <v>99.491399999999999</v>
      </c>
      <c r="E875" s="52"/>
      <c r="F875" s="53"/>
    </row>
    <row r="876" spans="1:6" x14ac:dyDescent="0.3">
      <c r="A876" s="48">
        <v>45119</v>
      </c>
      <c r="B876" s="49">
        <v>96.093299999999999</v>
      </c>
      <c r="C876" s="50">
        <f t="shared" si="29"/>
        <v>45138</v>
      </c>
      <c r="D876" s="51">
        <f t="shared" si="30"/>
        <v>99.491399999999999</v>
      </c>
      <c r="E876" s="52"/>
      <c r="F876" s="53"/>
    </row>
    <row r="877" spans="1:6" x14ac:dyDescent="0.3">
      <c r="A877" s="48">
        <v>45120</v>
      </c>
      <c r="B877" s="49">
        <v>96.006900000000002</v>
      </c>
      <c r="C877" s="50">
        <f t="shared" si="29"/>
        <v>45138</v>
      </c>
      <c r="D877" s="51">
        <f t="shared" si="30"/>
        <v>99.491399999999999</v>
      </c>
      <c r="E877" s="52"/>
      <c r="F877" s="53"/>
    </row>
    <row r="878" spans="1:6" x14ac:dyDescent="0.3">
      <c r="A878" s="48">
        <v>45121</v>
      </c>
      <c r="B878" s="49">
        <v>96.502700000000004</v>
      </c>
      <c r="C878" s="50">
        <f t="shared" si="29"/>
        <v>45138</v>
      </c>
      <c r="D878" s="51">
        <f t="shared" si="30"/>
        <v>99.491399999999999</v>
      </c>
      <c r="E878" s="52"/>
      <c r="F878" s="53"/>
    </row>
    <row r="879" spans="1:6" x14ac:dyDescent="0.3">
      <c r="A879" s="48">
        <v>45124</v>
      </c>
      <c r="B879" s="49">
        <v>97.227500000000006</v>
      </c>
      <c r="C879" s="50">
        <f t="shared" si="29"/>
        <v>45138</v>
      </c>
      <c r="D879" s="51">
        <f t="shared" si="30"/>
        <v>99.491399999999999</v>
      </c>
      <c r="E879" s="52"/>
      <c r="F879" s="53"/>
    </row>
    <row r="880" spans="1:6" x14ac:dyDescent="0.3">
      <c r="A880" s="48">
        <v>45125</v>
      </c>
      <c r="B880" s="49">
        <v>97.656099999999995</v>
      </c>
      <c r="C880" s="50">
        <f t="shared" si="29"/>
        <v>45138</v>
      </c>
      <c r="D880" s="51">
        <f t="shared" si="30"/>
        <v>99.491399999999999</v>
      </c>
      <c r="E880" s="52"/>
      <c r="F880" s="53"/>
    </row>
    <row r="881" spans="1:6" x14ac:dyDescent="0.3">
      <c r="A881" s="48">
        <v>45126</v>
      </c>
      <c r="B881" s="49">
        <v>98.895399999999995</v>
      </c>
      <c r="C881" s="50">
        <f t="shared" si="29"/>
        <v>45138</v>
      </c>
      <c r="D881" s="51">
        <f t="shared" si="30"/>
        <v>99.491399999999999</v>
      </c>
      <c r="E881" s="52"/>
      <c r="F881" s="53"/>
    </row>
    <row r="882" spans="1:6" x14ac:dyDescent="0.3">
      <c r="A882" s="48">
        <v>45127</v>
      </c>
      <c r="B882" s="49">
        <v>98.845399999999998</v>
      </c>
      <c r="C882" s="50">
        <f t="shared" si="29"/>
        <v>45138</v>
      </c>
      <c r="D882" s="51">
        <f t="shared" si="30"/>
        <v>99.491399999999999</v>
      </c>
      <c r="E882" s="52"/>
      <c r="F882" s="53"/>
    </row>
    <row r="883" spans="1:6" x14ac:dyDescent="0.3">
      <c r="A883" s="48">
        <v>45128</v>
      </c>
      <c r="B883" s="49">
        <v>97.960899999999995</v>
      </c>
      <c r="C883" s="50">
        <f t="shared" si="29"/>
        <v>45138</v>
      </c>
      <c r="D883" s="51">
        <f t="shared" si="30"/>
        <v>99.491399999999999</v>
      </c>
      <c r="E883" s="52"/>
      <c r="F883" s="53"/>
    </row>
    <row r="884" spans="1:6" x14ac:dyDescent="0.3">
      <c r="A884" s="48">
        <v>45131</v>
      </c>
      <c r="B884" s="49">
        <v>97.926299999999998</v>
      </c>
      <c r="C884" s="50">
        <f t="shared" si="29"/>
        <v>45138</v>
      </c>
      <c r="D884" s="51">
        <f t="shared" si="30"/>
        <v>99.491399999999999</v>
      </c>
      <c r="E884" s="52"/>
      <c r="F884" s="53"/>
    </row>
    <row r="885" spans="1:6" x14ac:dyDescent="0.3">
      <c r="A885" s="48">
        <v>45132</v>
      </c>
      <c r="B885" s="49">
        <v>98.357900000000001</v>
      </c>
      <c r="C885" s="50">
        <f t="shared" si="29"/>
        <v>45138</v>
      </c>
      <c r="D885" s="51">
        <f t="shared" si="30"/>
        <v>99.491399999999999</v>
      </c>
      <c r="E885" s="52"/>
      <c r="F885" s="53"/>
    </row>
    <row r="886" spans="1:6" x14ac:dyDescent="0.3">
      <c r="A886" s="48">
        <v>45133</v>
      </c>
      <c r="B886" s="49">
        <v>98.865700000000004</v>
      </c>
      <c r="C886" s="50">
        <f t="shared" si="29"/>
        <v>45138</v>
      </c>
      <c r="D886" s="51">
        <f t="shared" si="30"/>
        <v>99.491399999999999</v>
      </c>
      <c r="E886" s="52"/>
      <c r="F886" s="53"/>
    </row>
    <row r="887" spans="1:6" x14ac:dyDescent="0.3">
      <c r="A887" s="48">
        <v>45134</v>
      </c>
      <c r="B887" s="49">
        <v>99.027500000000003</v>
      </c>
      <c r="C887" s="50">
        <f t="shared" si="29"/>
        <v>45138</v>
      </c>
      <c r="D887" s="51">
        <f t="shared" si="30"/>
        <v>99.491399999999999</v>
      </c>
      <c r="E887" s="52"/>
      <c r="F887" s="53"/>
    </row>
    <row r="888" spans="1:6" x14ac:dyDescent="0.3">
      <c r="A888" s="48">
        <v>45135</v>
      </c>
      <c r="B888" s="49">
        <v>99.061099999999996</v>
      </c>
      <c r="C888" s="50">
        <f t="shared" si="29"/>
        <v>45138</v>
      </c>
      <c r="D888" s="51">
        <f t="shared" si="30"/>
        <v>99.491399999999999</v>
      </c>
      <c r="E888" s="52"/>
      <c r="F888" s="53"/>
    </row>
    <row r="889" spans="1:6" x14ac:dyDescent="0.3">
      <c r="A889" s="48">
        <v>45138</v>
      </c>
      <c r="B889" s="49">
        <v>99.491399999999999</v>
      </c>
      <c r="C889" s="50">
        <f t="shared" si="29"/>
        <v>45138</v>
      </c>
      <c r="D889" s="51">
        <f t="shared" si="30"/>
        <v>99.491399999999999</v>
      </c>
      <c r="E889" s="52"/>
      <c r="F889" s="53"/>
    </row>
    <row r="890" spans="1:6" x14ac:dyDescent="0.3">
      <c r="A890" s="48">
        <v>45139</v>
      </c>
      <c r="B890" s="49">
        <v>99.495699999999999</v>
      </c>
      <c r="C890" s="50">
        <f t="shared" si="29"/>
        <v>45169</v>
      </c>
      <c r="D890" s="51">
        <f t="shared" si="30"/>
        <v>98.432000000000002</v>
      </c>
      <c r="E890" s="52"/>
      <c r="F890" s="53"/>
    </row>
    <row r="891" spans="1:6" x14ac:dyDescent="0.3">
      <c r="A891" s="48">
        <v>45140</v>
      </c>
      <c r="B891" s="49">
        <v>98.239699999999999</v>
      </c>
      <c r="C891" s="50">
        <f t="shared" si="29"/>
        <v>45169</v>
      </c>
      <c r="D891" s="51">
        <f t="shared" si="30"/>
        <v>98.432000000000002</v>
      </c>
      <c r="E891" s="52"/>
      <c r="F891" s="53"/>
    </row>
    <row r="892" spans="1:6" x14ac:dyDescent="0.3">
      <c r="A892" s="48">
        <v>45141</v>
      </c>
      <c r="B892" s="49">
        <v>98.441699999999997</v>
      </c>
      <c r="C892" s="50">
        <f t="shared" si="29"/>
        <v>45169</v>
      </c>
      <c r="D892" s="51">
        <f t="shared" si="30"/>
        <v>98.432000000000002</v>
      </c>
      <c r="E892" s="52"/>
      <c r="F892" s="53"/>
    </row>
    <row r="893" spans="1:6" x14ac:dyDescent="0.3">
      <c r="A893" s="48">
        <v>45142</v>
      </c>
      <c r="B893" s="49">
        <v>98.698800000000006</v>
      </c>
      <c r="C893" s="50">
        <f t="shared" si="29"/>
        <v>45169</v>
      </c>
      <c r="D893" s="51">
        <f t="shared" si="30"/>
        <v>98.432000000000002</v>
      </c>
      <c r="E893" s="52"/>
      <c r="F893" s="53"/>
    </row>
    <row r="894" spans="1:6" x14ac:dyDescent="0.3">
      <c r="A894" s="48">
        <v>45145</v>
      </c>
      <c r="B894" s="49">
        <v>98.946200000000005</v>
      </c>
      <c r="C894" s="50">
        <f t="shared" si="29"/>
        <v>45169</v>
      </c>
      <c r="D894" s="51">
        <f t="shared" si="30"/>
        <v>98.432000000000002</v>
      </c>
      <c r="E894" s="52"/>
      <c r="F894" s="53"/>
    </row>
    <row r="895" spans="1:6" x14ac:dyDescent="0.3">
      <c r="A895" s="48">
        <v>45146</v>
      </c>
      <c r="B895" s="49">
        <v>99.173199999999994</v>
      </c>
      <c r="C895" s="50">
        <f t="shared" si="29"/>
        <v>45169</v>
      </c>
      <c r="D895" s="51">
        <f t="shared" si="30"/>
        <v>98.432000000000002</v>
      </c>
      <c r="E895" s="52"/>
      <c r="F895" s="53"/>
    </row>
    <row r="896" spans="1:6" x14ac:dyDescent="0.3">
      <c r="A896" s="48">
        <v>45147</v>
      </c>
      <c r="B896" s="49">
        <v>99.289100000000005</v>
      </c>
      <c r="C896" s="50">
        <f t="shared" si="29"/>
        <v>45169</v>
      </c>
      <c r="D896" s="51">
        <f t="shared" si="30"/>
        <v>98.432000000000002</v>
      </c>
      <c r="E896" s="52"/>
      <c r="F896" s="53"/>
    </row>
    <row r="897" spans="1:6" x14ac:dyDescent="0.3">
      <c r="A897" s="48">
        <v>45148</v>
      </c>
      <c r="B897" s="49">
        <v>99.465100000000007</v>
      </c>
      <c r="C897" s="50">
        <f t="shared" si="29"/>
        <v>45169</v>
      </c>
      <c r="D897" s="51">
        <f t="shared" si="30"/>
        <v>98.432000000000002</v>
      </c>
      <c r="E897" s="52"/>
      <c r="F897" s="53"/>
    </row>
    <row r="898" spans="1:6" x14ac:dyDescent="0.3">
      <c r="A898" s="48">
        <v>45149</v>
      </c>
      <c r="B898" s="49">
        <v>98.783299999999997</v>
      </c>
      <c r="C898" s="50">
        <f t="shared" si="29"/>
        <v>45169</v>
      </c>
      <c r="D898" s="51">
        <f t="shared" si="30"/>
        <v>98.432000000000002</v>
      </c>
      <c r="E898" s="52"/>
      <c r="F898" s="53"/>
    </row>
    <row r="899" spans="1:6" x14ac:dyDescent="0.3">
      <c r="A899" s="48">
        <v>45152</v>
      </c>
      <c r="B899" s="49">
        <v>98.181799999999996</v>
      </c>
      <c r="C899" s="50">
        <f t="shared" ref="C899:C962" si="31">EOMONTH(A899,0)</f>
        <v>45169</v>
      </c>
      <c r="D899" s="51">
        <f t="shared" ref="D899:D962" si="32">INDEX($B$3:$B$2001, MATCH($C899, $A$3:$A$2001, 1))</f>
        <v>98.432000000000002</v>
      </c>
      <c r="E899" s="52"/>
      <c r="F899" s="53"/>
    </row>
    <row r="900" spans="1:6" x14ac:dyDescent="0.3">
      <c r="A900" s="48">
        <v>45154</v>
      </c>
      <c r="B900" s="49">
        <v>97.993700000000004</v>
      </c>
      <c r="C900" s="50">
        <f t="shared" si="31"/>
        <v>45169</v>
      </c>
      <c r="D900" s="51">
        <f t="shared" si="32"/>
        <v>98.432000000000002</v>
      </c>
      <c r="E900" s="52"/>
      <c r="F900" s="53"/>
    </row>
    <row r="901" spans="1:6" x14ac:dyDescent="0.3">
      <c r="A901" s="48">
        <v>45155</v>
      </c>
      <c r="B901" s="49">
        <v>97.783100000000005</v>
      </c>
      <c r="C901" s="50">
        <f t="shared" si="31"/>
        <v>45169</v>
      </c>
      <c r="D901" s="51">
        <f t="shared" si="32"/>
        <v>98.432000000000002</v>
      </c>
      <c r="E901" s="52"/>
      <c r="F901" s="53"/>
    </row>
    <row r="902" spans="1:6" x14ac:dyDescent="0.3">
      <c r="A902" s="48">
        <v>45156</v>
      </c>
      <c r="B902" s="49">
        <v>97.8857</v>
      </c>
      <c r="C902" s="50">
        <f t="shared" si="31"/>
        <v>45169</v>
      </c>
      <c r="D902" s="51">
        <f t="shared" si="32"/>
        <v>98.432000000000002</v>
      </c>
      <c r="E902" s="52"/>
      <c r="F902" s="53"/>
    </row>
    <row r="903" spans="1:6" x14ac:dyDescent="0.3">
      <c r="A903" s="48">
        <v>45159</v>
      </c>
      <c r="B903" s="49">
        <v>98.232600000000005</v>
      </c>
      <c r="C903" s="50">
        <f t="shared" si="31"/>
        <v>45169</v>
      </c>
      <c r="D903" s="51">
        <f t="shared" si="32"/>
        <v>98.432000000000002</v>
      </c>
      <c r="E903" s="52"/>
      <c r="F903" s="53"/>
    </row>
    <row r="904" spans="1:6" x14ac:dyDescent="0.3">
      <c r="A904" s="48">
        <v>45160</v>
      </c>
      <c r="B904" s="49">
        <v>98.580299999999994</v>
      </c>
      <c r="C904" s="50">
        <f t="shared" si="31"/>
        <v>45169</v>
      </c>
      <c r="D904" s="51">
        <f t="shared" si="32"/>
        <v>98.432000000000002</v>
      </c>
      <c r="E904" s="52"/>
      <c r="F904" s="53"/>
    </row>
    <row r="905" spans="1:6" x14ac:dyDescent="0.3">
      <c r="A905" s="48">
        <v>45161</v>
      </c>
      <c r="B905" s="49">
        <v>98.5608</v>
      </c>
      <c r="C905" s="50">
        <f t="shared" si="31"/>
        <v>45169</v>
      </c>
      <c r="D905" s="51">
        <f t="shared" si="32"/>
        <v>98.432000000000002</v>
      </c>
      <c r="E905" s="52"/>
      <c r="F905" s="53"/>
    </row>
    <row r="906" spans="1:6" x14ac:dyDescent="0.3">
      <c r="A906" s="48">
        <v>45162</v>
      </c>
      <c r="B906" s="49">
        <v>98.143299999999996</v>
      </c>
      <c r="C906" s="50">
        <f t="shared" si="31"/>
        <v>45169</v>
      </c>
      <c r="D906" s="51">
        <f t="shared" si="32"/>
        <v>98.432000000000002</v>
      </c>
      <c r="E906" s="52"/>
      <c r="F906" s="53"/>
    </row>
    <row r="907" spans="1:6" x14ac:dyDescent="0.3">
      <c r="A907" s="48">
        <v>45163</v>
      </c>
      <c r="B907" s="49">
        <v>97.619399999999999</v>
      </c>
      <c r="C907" s="50">
        <f t="shared" si="31"/>
        <v>45169</v>
      </c>
      <c r="D907" s="51">
        <f t="shared" si="32"/>
        <v>98.432000000000002</v>
      </c>
      <c r="E907" s="52"/>
      <c r="F907" s="53"/>
    </row>
    <row r="908" spans="1:6" x14ac:dyDescent="0.3">
      <c r="A908" s="48">
        <v>45166</v>
      </c>
      <c r="B908" s="49">
        <v>97.786699999999996</v>
      </c>
      <c r="C908" s="50">
        <f t="shared" si="31"/>
        <v>45169</v>
      </c>
      <c r="D908" s="51">
        <f t="shared" si="32"/>
        <v>98.432000000000002</v>
      </c>
      <c r="E908" s="52"/>
      <c r="F908" s="53"/>
    </row>
    <row r="909" spans="1:6" x14ac:dyDescent="0.3">
      <c r="A909" s="48">
        <v>45167</v>
      </c>
      <c r="B909" s="49">
        <v>98.078500000000005</v>
      </c>
      <c r="C909" s="50">
        <f t="shared" si="31"/>
        <v>45169</v>
      </c>
      <c r="D909" s="51">
        <f t="shared" si="32"/>
        <v>98.432000000000002</v>
      </c>
      <c r="E909" s="52"/>
      <c r="F909" s="53"/>
    </row>
    <row r="910" spans="1:6" x14ac:dyDescent="0.3">
      <c r="A910" s="48">
        <v>45168</v>
      </c>
      <c r="B910" s="49">
        <v>98.234099999999998</v>
      </c>
      <c r="C910" s="50">
        <f t="shared" si="31"/>
        <v>45169</v>
      </c>
      <c r="D910" s="51">
        <f t="shared" si="32"/>
        <v>98.432000000000002</v>
      </c>
      <c r="E910" s="52"/>
      <c r="F910" s="53"/>
    </row>
    <row r="911" spans="1:6" x14ac:dyDescent="0.3">
      <c r="A911" s="48">
        <v>45169</v>
      </c>
      <c r="B911" s="49">
        <v>98.432000000000002</v>
      </c>
      <c r="C911" s="50">
        <f t="shared" si="31"/>
        <v>45169</v>
      </c>
      <c r="D911" s="51">
        <f t="shared" si="32"/>
        <v>98.432000000000002</v>
      </c>
      <c r="E911" s="52"/>
      <c r="F911" s="53"/>
    </row>
    <row r="912" spans="1:6" x14ac:dyDescent="0.3">
      <c r="A912" s="48">
        <v>45170</v>
      </c>
      <c r="B912" s="49">
        <v>99.155100000000004</v>
      </c>
      <c r="C912" s="50">
        <f t="shared" si="31"/>
        <v>45199</v>
      </c>
      <c r="D912" s="51">
        <f t="shared" si="32"/>
        <v>99.126499999999993</v>
      </c>
      <c r="E912" s="52"/>
      <c r="F912" s="53"/>
    </row>
    <row r="913" spans="1:6" x14ac:dyDescent="0.3">
      <c r="A913" s="48">
        <v>45173</v>
      </c>
      <c r="B913" s="49">
        <v>99.640900000000002</v>
      </c>
      <c r="C913" s="50">
        <f t="shared" si="31"/>
        <v>45199</v>
      </c>
      <c r="D913" s="51">
        <f t="shared" si="32"/>
        <v>99.126499999999993</v>
      </c>
      <c r="E913" s="52"/>
      <c r="F913" s="53"/>
    </row>
    <row r="914" spans="1:6" x14ac:dyDescent="0.3">
      <c r="A914" s="48">
        <v>45174</v>
      </c>
      <c r="B914" s="49">
        <v>100.3536</v>
      </c>
      <c r="C914" s="50">
        <f t="shared" si="31"/>
        <v>45199</v>
      </c>
      <c r="D914" s="51">
        <f t="shared" si="32"/>
        <v>99.126499999999993</v>
      </c>
      <c r="E914" s="52"/>
      <c r="F914" s="53"/>
    </row>
    <row r="915" spans="1:6" x14ac:dyDescent="0.3">
      <c r="A915" s="48">
        <v>45175</v>
      </c>
      <c r="B915" s="49">
        <v>100.2709</v>
      </c>
      <c r="C915" s="50">
        <f t="shared" si="31"/>
        <v>45199</v>
      </c>
      <c r="D915" s="51">
        <f t="shared" si="32"/>
        <v>99.126499999999993</v>
      </c>
      <c r="E915" s="52"/>
      <c r="F915" s="53"/>
    </row>
    <row r="916" spans="1:6" x14ac:dyDescent="0.3">
      <c r="A916" s="48">
        <v>45176</v>
      </c>
      <c r="B916" s="49">
        <v>100.4067</v>
      </c>
      <c r="C916" s="50">
        <f t="shared" si="31"/>
        <v>45199</v>
      </c>
      <c r="D916" s="51">
        <f t="shared" si="32"/>
        <v>99.126499999999993</v>
      </c>
      <c r="E916" s="52"/>
      <c r="F916" s="53"/>
    </row>
    <row r="917" spans="1:6" x14ac:dyDescent="0.3">
      <c r="A917" s="48">
        <v>45177</v>
      </c>
      <c r="B917" s="49">
        <v>100.8417</v>
      </c>
      <c r="C917" s="50">
        <f t="shared" si="31"/>
        <v>45199</v>
      </c>
      <c r="D917" s="51">
        <f t="shared" si="32"/>
        <v>99.126499999999993</v>
      </c>
      <c r="E917" s="52"/>
      <c r="F917" s="53"/>
    </row>
    <row r="918" spans="1:6" x14ac:dyDescent="0.3">
      <c r="A918" s="48">
        <v>45180</v>
      </c>
      <c r="B918" s="49">
        <v>101.2932</v>
      </c>
      <c r="C918" s="50">
        <f t="shared" si="31"/>
        <v>45199</v>
      </c>
      <c r="D918" s="51">
        <f t="shared" si="32"/>
        <v>99.126499999999993</v>
      </c>
      <c r="E918" s="52"/>
      <c r="F918" s="53"/>
    </row>
    <row r="919" spans="1:6" x14ac:dyDescent="0.3">
      <c r="A919" s="48">
        <v>45181</v>
      </c>
      <c r="B919" s="49">
        <v>99.600999999999999</v>
      </c>
      <c r="C919" s="50">
        <f t="shared" si="31"/>
        <v>45199</v>
      </c>
      <c r="D919" s="51">
        <f t="shared" si="32"/>
        <v>99.126499999999993</v>
      </c>
      <c r="E919" s="52"/>
      <c r="F919" s="53"/>
    </row>
    <row r="920" spans="1:6" x14ac:dyDescent="0.3">
      <c r="A920" s="48">
        <v>45182</v>
      </c>
      <c r="B920" s="49">
        <v>99.735399999999998</v>
      </c>
      <c r="C920" s="50">
        <f t="shared" si="31"/>
        <v>45199</v>
      </c>
      <c r="D920" s="51">
        <f t="shared" si="32"/>
        <v>99.126499999999993</v>
      </c>
      <c r="E920" s="52"/>
      <c r="F920" s="53"/>
    </row>
    <row r="921" spans="1:6" x14ac:dyDescent="0.3">
      <c r="A921" s="48">
        <v>45183</v>
      </c>
      <c r="B921" s="49">
        <v>100.1741</v>
      </c>
      <c r="C921" s="50">
        <f t="shared" si="31"/>
        <v>45199</v>
      </c>
      <c r="D921" s="51">
        <f t="shared" si="32"/>
        <v>99.126499999999993</v>
      </c>
      <c r="E921" s="52"/>
      <c r="F921" s="53"/>
    </row>
    <row r="922" spans="1:6" x14ac:dyDescent="0.3">
      <c r="A922" s="48">
        <v>45184</v>
      </c>
      <c r="B922" s="49">
        <v>100.325</v>
      </c>
      <c r="C922" s="50">
        <f t="shared" si="31"/>
        <v>45199</v>
      </c>
      <c r="D922" s="51">
        <f t="shared" si="32"/>
        <v>99.126499999999993</v>
      </c>
      <c r="E922" s="52"/>
      <c r="F922" s="53"/>
    </row>
    <row r="923" spans="1:6" x14ac:dyDescent="0.3">
      <c r="A923" s="48">
        <v>45187</v>
      </c>
      <c r="B923" s="49">
        <v>99.712800000000001</v>
      </c>
      <c r="C923" s="50">
        <f t="shared" si="31"/>
        <v>45199</v>
      </c>
      <c r="D923" s="51">
        <f t="shared" si="32"/>
        <v>99.126499999999993</v>
      </c>
      <c r="E923" s="52"/>
      <c r="F923" s="53"/>
    </row>
    <row r="924" spans="1:6" x14ac:dyDescent="0.3">
      <c r="A924" s="48">
        <v>45189</v>
      </c>
      <c r="B924" s="49">
        <v>98.763099999999994</v>
      </c>
      <c r="C924" s="50">
        <f t="shared" si="31"/>
        <v>45199</v>
      </c>
      <c r="D924" s="51">
        <f t="shared" si="32"/>
        <v>99.126499999999993</v>
      </c>
      <c r="E924" s="52"/>
      <c r="F924" s="53"/>
    </row>
    <row r="925" spans="1:6" x14ac:dyDescent="0.3">
      <c r="A925" s="48">
        <v>45190</v>
      </c>
      <c r="B925" s="49">
        <v>98.318700000000007</v>
      </c>
      <c r="C925" s="50">
        <f t="shared" si="31"/>
        <v>45199</v>
      </c>
      <c r="D925" s="51">
        <f t="shared" si="32"/>
        <v>99.126499999999993</v>
      </c>
      <c r="E925" s="52"/>
      <c r="F925" s="53"/>
    </row>
    <row r="926" spans="1:6" x14ac:dyDescent="0.3">
      <c r="A926" s="48">
        <v>45191</v>
      </c>
      <c r="B926" s="49">
        <v>97.998000000000005</v>
      </c>
      <c r="C926" s="50">
        <f t="shared" si="31"/>
        <v>45199</v>
      </c>
      <c r="D926" s="51">
        <f t="shared" si="32"/>
        <v>99.126499999999993</v>
      </c>
      <c r="E926" s="52"/>
      <c r="F926" s="53"/>
    </row>
    <row r="927" spans="1:6" x14ac:dyDescent="0.3">
      <c r="A927" s="48">
        <v>45194</v>
      </c>
      <c r="B927" s="49">
        <v>98.194400000000002</v>
      </c>
      <c r="C927" s="50">
        <f t="shared" si="31"/>
        <v>45199</v>
      </c>
      <c r="D927" s="51">
        <f t="shared" si="32"/>
        <v>99.126499999999993</v>
      </c>
      <c r="E927" s="52"/>
      <c r="F927" s="53"/>
    </row>
    <row r="928" spans="1:6" x14ac:dyDescent="0.3">
      <c r="A928" s="48">
        <v>45195</v>
      </c>
      <c r="B928" s="49">
        <v>97.985900000000001</v>
      </c>
      <c r="C928" s="50">
        <f t="shared" si="31"/>
        <v>45199</v>
      </c>
      <c r="D928" s="51">
        <f t="shared" si="32"/>
        <v>99.126499999999993</v>
      </c>
      <c r="E928" s="52"/>
      <c r="F928" s="53"/>
    </row>
    <row r="929" spans="1:6" x14ac:dyDescent="0.3">
      <c r="A929" s="48">
        <v>45196</v>
      </c>
      <c r="B929" s="49">
        <v>98.938100000000006</v>
      </c>
      <c r="C929" s="50">
        <f t="shared" si="31"/>
        <v>45199</v>
      </c>
      <c r="D929" s="51">
        <f t="shared" si="32"/>
        <v>99.126499999999993</v>
      </c>
      <c r="E929" s="52"/>
      <c r="F929" s="53"/>
    </row>
    <row r="930" spans="1:6" x14ac:dyDescent="0.3">
      <c r="A930" s="48">
        <v>45198</v>
      </c>
      <c r="B930" s="49">
        <v>99.126499999999993</v>
      </c>
      <c r="C930" s="50">
        <f t="shared" si="31"/>
        <v>45199</v>
      </c>
      <c r="D930" s="51">
        <f t="shared" si="32"/>
        <v>99.126499999999993</v>
      </c>
      <c r="E930" s="52"/>
      <c r="F930" s="53"/>
    </row>
    <row r="931" spans="1:6" x14ac:dyDescent="0.3">
      <c r="A931" s="48">
        <v>45202</v>
      </c>
      <c r="B931" s="49">
        <v>98.506600000000006</v>
      </c>
      <c r="C931" s="50">
        <f t="shared" si="31"/>
        <v>45230</v>
      </c>
      <c r="D931" s="51">
        <f t="shared" si="32"/>
        <v>98.960999999999999</v>
      </c>
      <c r="E931" s="52"/>
      <c r="F931" s="53"/>
    </row>
    <row r="932" spans="1:6" x14ac:dyDescent="0.3">
      <c r="A932" s="48">
        <v>45203</v>
      </c>
      <c r="B932" s="49">
        <v>97.198300000000003</v>
      </c>
      <c r="C932" s="50">
        <f t="shared" si="31"/>
        <v>45230</v>
      </c>
      <c r="D932" s="51">
        <f t="shared" si="32"/>
        <v>98.960999999999999</v>
      </c>
      <c r="E932" s="52"/>
      <c r="F932" s="53"/>
    </row>
    <row r="933" spans="1:6" x14ac:dyDescent="0.3">
      <c r="A933" s="48">
        <v>45204</v>
      </c>
      <c r="B933" s="49">
        <v>97.420299999999997</v>
      </c>
      <c r="C933" s="50">
        <f t="shared" si="31"/>
        <v>45230</v>
      </c>
      <c r="D933" s="51">
        <f t="shared" si="32"/>
        <v>98.960999999999999</v>
      </c>
      <c r="E933" s="52"/>
      <c r="F933" s="53"/>
    </row>
    <row r="934" spans="1:6" x14ac:dyDescent="0.3">
      <c r="A934" s="48">
        <v>45205</v>
      </c>
      <c r="B934" s="49">
        <v>98.156800000000004</v>
      </c>
      <c r="C934" s="50">
        <f t="shared" si="31"/>
        <v>45230</v>
      </c>
      <c r="D934" s="51">
        <f t="shared" si="32"/>
        <v>98.960999999999999</v>
      </c>
      <c r="E934" s="52"/>
      <c r="F934" s="53"/>
    </row>
    <row r="935" spans="1:6" x14ac:dyDescent="0.3">
      <c r="A935" s="48">
        <v>45208</v>
      </c>
      <c r="B935" s="49">
        <v>97.228200000000001</v>
      </c>
      <c r="C935" s="50">
        <f t="shared" si="31"/>
        <v>45230</v>
      </c>
      <c r="D935" s="51">
        <f t="shared" si="32"/>
        <v>98.960999999999999</v>
      </c>
      <c r="E935" s="52"/>
      <c r="F935" s="53"/>
    </row>
    <row r="936" spans="1:6" x14ac:dyDescent="0.3">
      <c r="A936" s="48">
        <v>45209</v>
      </c>
      <c r="B936" s="49">
        <v>97.991200000000006</v>
      </c>
      <c r="C936" s="50">
        <f t="shared" si="31"/>
        <v>45230</v>
      </c>
      <c r="D936" s="51">
        <f t="shared" si="32"/>
        <v>98.960999999999999</v>
      </c>
      <c r="E936" s="52"/>
      <c r="F936" s="53"/>
    </row>
    <row r="937" spans="1:6" x14ac:dyDescent="0.3">
      <c r="A937" s="48">
        <v>45210</v>
      </c>
      <c r="B937" s="49">
        <v>98.673599999999993</v>
      </c>
      <c r="C937" s="50">
        <f t="shared" si="31"/>
        <v>45230</v>
      </c>
      <c r="D937" s="51">
        <f t="shared" si="32"/>
        <v>98.960999999999999</v>
      </c>
      <c r="E937" s="52"/>
      <c r="F937" s="53"/>
    </row>
    <row r="938" spans="1:6" x14ac:dyDescent="0.3">
      <c r="A938" s="48">
        <v>45211</v>
      </c>
      <c r="B938" s="49">
        <v>98.759699999999995</v>
      </c>
      <c r="C938" s="50">
        <f t="shared" si="31"/>
        <v>45230</v>
      </c>
      <c r="D938" s="51">
        <f t="shared" si="32"/>
        <v>98.960999999999999</v>
      </c>
      <c r="E938" s="52"/>
      <c r="F938" s="53"/>
    </row>
    <row r="939" spans="1:6" x14ac:dyDescent="0.3">
      <c r="A939" s="48">
        <v>45212</v>
      </c>
      <c r="B939" s="49">
        <v>98.912700000000001</v>
      </c>
      <c r="C939" s="50">
        <f t="shared" si="31"/>
        <v>45230</v>
      </c>
      <c r="D939" s="51">
        <f t="shared" si="32"/>
        <v>98.960999999999999</v>
      </c>
      <c r="E939" s="52"/>
      <c r="F939" s="53"/>
    </row>
    <row r="940" spans="1:6" x14ac:dyDescent="0.3">
      <c r="A940" s="48">
        <v>45215</v>
      </c>
      <c r="B940" s="49">
        <v>99.273700000000005</v>
      </c>
      <c r="C940" s="50">
        <f t="shared" si="31"/>
        <v>45230</v>
      </c>
      <c r="D940" s="51">
        <f t="shared" si="32"/>
        <v>98.960999999999999</v>
      </c>
      <c r="E940" s="52"/>
      <c r="F940" s="53"/>
    </row>
    <row r="941" spans="1:6" x14ac:dyDescent="0.3">
      <c r="A941" s="48">
        <v>45216</v>
      </c>
      <c r="B941" s="49">
        <v>99.227000000000004</v>
      </c>
      <c r="C941" s="50">
        <f t="shared" si="31"/>
        <v>45230</v>
      </c>
      <c r="D941" s="51">
        <f t="shared" si="32"/>
        <v>98.960999999999999</v>
      </c>
      <c r="E941" s="52"/>
      <c r="F941" s="53"/>
    </row>
    <row r="942" spans="1:6" x14ac:dyDescent="0.3">
      <c r="A942" s="48">
        <v>45217</v>
      </c>
      <c r="B942" s="49">
        <v>99.061300000000003</v>
      </c>
      <c r="C942" s="50">
        <f t="shared" si="31"/>
        <v>45230</v>
      </c>
      <c r="D942" s="51">
        <f t="shared" si="32"/>
        <v>98.960999999999999</v>
      </c>
      <c r="E942" s="52"/>
      <c r="F942" s="53"/>
    </row>
    <row r="943" spans="1:6" x14ac:dyDescent="0.3">
      <c r="A943" s="48">
        <v>45218</v>
      </c>
      <c r="B943" s="49">
        <v>98.861900000000006</v>
      </c>
      <c r="C943" s="50">
        <f t="shared" si="31"/>
        <v>45230</v>
      </c>
      <c r="D943" s="51">
        <f t="shared" si="32"/>
        <v>98.960999999999999</v>
      </c>
      <c r="E943" s="52"/>
      <c r="F943" s="53"/>
    </row>
    <row r="944" spans="1:6" x14ac:dyDescent="0.3">
      <c r="A944" s="48">
        <v>45219</v>
      </c>
      <c r="B944" s="49">
        <v>99.166700000000006</v>
      </c>
      <c r="C944" s="50">
        <f t="shared" si="31"/>
        <v>45230</v>
      </c>
      <c r="D944" s="51">
        <f t="shared" si="32"/>
        <v>98.960999999999999</v>
      </c>
      <c r="E944" s="52"/>
      <c r="F944" s="53"/>
    </row>
    <row r="945" spans="1:6" x14ac:dyDescent="0.3">
      <c r="A945" s="48">
        <v>45222</v>
      </c>
      <c r="B945" s="49">
        <v>97.388900000000007</v>
      </c>
      <c r="C945" s="50">
        <f t="shared" si="31"/>
        <v>45230</v>
      </c>
      <c r="D945" s="51">
        <f t="shared" si="32"/>
        <v>98.960999999999999</v>
      </c>
      <c r="E945" s="52"/>
      <c r="F945" s="53"/>
    </row>
    <row r="946" spans="1:6" x14ac:dyDescent="0.3">
      <c r="A946" s="48">
        <v>45224</v>
      </c>
      <c r="B946" s="49">
        <v>97.093699999999998</v>
      </c>
      <c r="C946" s="50">
        <f t="shared" si="31"/>
        <v>45230</v>
      </c>
      <c r="D946" s="51">
        <f t="shared" si="32"/>
        <v>98.960999999999999</v>
      </c>
      <c r="E946" s="52"/>
      <c r="F946" s="53"/>
    </row>
    <row r="947" spans="1:6" x14ac:dyDescent="0.3">
      <c r="A947" s="48">
        <v>45225</v>
      </c>
      <c r="B947" s="49">
        <v>97.301599999999993</v>
      </c>
      <c r="C947" s="50">
        <f t="shared" si="31"/>
        <v>45230</v>
      </c>
      <c r="D947" s="51">
        <f t="shared" si="32"/>
        <v>98.960999999999999</v>
      </c>
      <c r="E947" s="52"/>
      <c r="F947" s="53"/>
    </row>
    <row r="948" spans="1:6" x14ac:dyDescent="0.3">
      <c r="A948" s="48">
        <v>45226</v>
      </c>
      <c r="B948" s="49">
        <v>98.601500000000001</v>
      </c>
      <c r="C948" s="50">
        <f t="shared" si="31"/>
        <v>45230</v>
      </c>
      <c r="D948" s="51">
        <f t="shared" si="32"/>
        <v>98.960999999999999</v>
      </c>
      <c r="E948" s="52"/>
      <c r="F948" s="53"/>
    </row>
    <row r="949" spans="1:6" x14ac:dyDescent="0.3">
      <c r="A949" s="48">
        <v>45229</v>
      </c>
      <c r="B949" s="49">
        <v>98.989500000000007</v>
      </c>
      <c r="C949" s="50">
        <f t="shared" si="31"/>
        <v>45230</v>
      </c>
      <c r="D949" s="51">
        <f t="shared" si="32"/>
        <v>98.960999999999999</v>
      </c>
      <c r="E949" s="52"/>
      <c r="F949" s="53"/>
    </row>
    <row r="950" spans="1:6" x14ac:dyDescent="0.3">
      <c r="A950" s="48">
        <v>45230</v>
      </c>
      <c r="B950" s="49">
        <v>98.960999999999999</v>
      </c>
      <c r="C950" s="50">
        <f t="shared" si="31"/>
        <v>45230</v>
      </c>
      <c r="D950" s="51">
        <f t="shared" si="32"/>
        <v>98.960999999999999</v>
      </c>
      <c r="E950" s="52"/>
      <c r="F950" s="53"/>
    </row>
    <row r="951" spans="1:6" x14ac:dyDescent="0.3">
      <c r="A951" s="48">
        <v>45231</v>
      </c>
      <c r="B951" s="49">
        <v>98.778999999999996</v>
      </c>
      <c r="C951" s="50">
        <f t="shared" si="31"/>
        <v>45260</v>
      </c>
      <c r="D951" s="51">
        <f t="shared" si="32"/>
        <v>105.9502</v>
      </c>
      <c r="E951" s="52"/>
      <c r="F951" s="53"/>
    </row>
    <row r="952" spans="1:6" x14ac:dyDescent="0.3">
      <c r="A952" s="48">
        <v>45232</v>
      </c>
      <c r="B952" s="49">
        <v>99.588899999999995</v>
      </c>
      <c r="C952" s="50">
        <f t="shared" si="31"/>
        <v>45260</v>
      </c>
      <c r="D952" s="51">
        <f t="shared" si="32"/>
        <v>105.9502</v>
      </c>
      <c r="E952" s="52"/>
      <c r="F952" s="53"/>
    </row>
    <row r="953" spans="1:6" x14ac:dyDescent="0.3">
      <c r="A953" s="48">
        <v>45233</v>
      </c>
      <c r="B953" s="49">
        <v>99.967799999999997</v>
      </c>
      <c r="C953" s="50">
        <f t="shared" si="31"/>
        <v>45260</v>
      </c>
      <c r="D953" s="51">
        <f t="shared" si="32"/>
        <v>105.9502</v>
      </c>
      <c r="E953" s="52"/>
      <c r="F953" s="53"/>
    </row>
    <row r="954" spans="1:6" x14ac:dyDescent="0.3">
      <c r="A954" s="48">
        <v>45236</v>
      </c>
      <c r="B954" s="49">
        <v>100.708</v>
      </c>
      <c r="C954" s="50">
        <f t="shared" si="31"/>
        <v>45260</v>
      </c>
      <c r="D954" s="51">
        <f t="shared" si="32"/>
        <v>105.9502</v>
      </c>
      <c r="E954" s="52"/>
      <c r="F954" s="53"/>
    </row>
    <row r="955" spans="1:6" x14ac:dyDescent="0.3">
      <c r="A955" s="48">
        <v>45237</v>
      </c>
      <c r="B955" s="49">
        <v>101.1579</v>
      </c>
      <c r="C955" s="50">
        <f t="shared" si="31"/>
        <v>45260</v>
      </c>
      <c r="D955" s="51">
        <f t="shared" si="32"/>
        <v>105.9502</v>
      </c>
      <c r="E955" s="52"/>
      <c r="F955" s="53"/>
    </row>
    <row r="956" spans="1:6" x14ac:dyDescent="0.3">
      <c r="A956" s="48">
        <v>45238</v>
      </c>
      <c r="B956" s="49">
        <v>101.43040000000001</v>
      </c>
      <c r="C956" s="50">
        <f t="shared" si="31"/>
        <v>45260</v>
      </c>
      <c r="D956" s="51">
        <f t="shared" si="32"/>
        <v>105.9502</v>
      </c>
      <c r="E956" s="52"/>
      <c r="F956" s="53"/>
    </row>
    <row r="957" spans="1:6" x14ac:dyDescent="0.3">
      <c r="A957" s="48">
        <v>45239</v>
      </c>
      <c r="B957" s="49">
        <v>101.2184</v>
      </c>
      <c r="C957" s="50">
        <f t="shared" si="31"/>
        <v>45260</v>
      </c>
      <c r="D957" s="51">
        <f t="shared" si="32"/>
        <v>105.9502</v>
      </c>
      <c r="E957" s="52"/>
      <c r="F957" s="53"/>
    </row>
    <row r="958" spans="1:6" x14ac:dyDescent="0.3">
      <c r="A958" s="48">
        <v>45240</v>
      </c>
      <c r="B958" s="49">
        <v>101.5335</v>
      </c>
      <c r="C958" s="50">
        <f t="shared" si="31"/>
        <v>45260</v>
      </c>
      <c r="D958" s="51">
        <f t="shared" si="32"/>
        <v>105.9502</v>
      </c>
      <c r="E958" s="52"/>
      <c r="F958" s="53"/>
    </row>
    <row r="959" spans="1:6" x14ac:dyDescent="0.3">
      <c r="A959" s="48">
        <v>45243</v>
      </c>
      <c r="B959" s="49">
        <v>101.6409</v>
      </c>
      <c r="C959" s="50">
        <f t="shared" si="31"/>
        <v>45260</v>
      </c>
      <c r="D959" s="51">
        <f t="shared" si="32"/>
        <v>105.9502</v>
      </c>
      <c r="E959" s="52"/>
      <c r="F959" s="53"/>
    </row>
    <row r="960" spans="1:6" x14ac:dyDescent="0.3">
      <c r="A960" s="48">
        <v>45245</v>
      </c>
      <c r="B960" s="49">
        <v>102.9932</v>
      </c>
      <c r="C960" s="50">
        <f t="shared" si="31"/>
        <v>45260</v>
      </c>
      <c r="D960" s="51">
        <f t="shared" si="32"/>
        <v>105.9502</v>
      </c>
      <c r="E960" s="52"/>
      <c r="F960" s="53"/>
    </row>
    <row r="961" spans="1:6" x14ac:dyDescent="0.3">
      <c r="A961" s="48">
        <v>45246</v>
      </c>
      <c r="B961" s="49">
        <v>103.5219</v>
      </c>
      <c r="C961" s="50">
        <f t="shared" si="31"/>
        <v>45260</v>
      </c>
      <c r="D961" s="51">
        <f t="shared" si="32"/>
        <v>105.9502</v>
      </c>
      <c r="E961" s="52"/>
      <c r="F961" s="53"/>
    </row>
    <row r="962" spans="1:6" x14ac:dyDescent="0.3">
      <c r="A962" s="48">
        <v>45247</v>
      </c>
      <c r="B962" s="49">
        <v>103.39700000000001</v>
      </c>
      <c r="C962" s="50">
        <f t="shared" si="31"/>
        <v>45260</v>
      </c>
      <c r="D962" s="51">
        <f t="shared" si="32"/>
        <v>105.9502</v>
      </c>
      <c r="E962" s="52"/>
      <c r="F962" s="53"/>
    </row>
    <row r="963" spans="1:6" x14ac:dyDescent="0.3">
      <c r="A963" s="48">
        <v>45250</v>
      </c>
      <c r="B963" s="49">
        <v>103.12860000000001</v>
      </c>
      <c r="C963" s="50">
        <f t="shared" ref="C963:C1026" si="33">EOMONTH(A963,0)</f>
        <v>45260</v>
      </c>
      <c r="D963" s="51">
        <f t="shared" ref="D963:D1026" si="34">INDEX($B$3:$B$2001, MATCH($C963, $A$3:$A$2001, 1))</f>
        <v>105.9502</v>
      </c>
      <c r="E963" s="52"/>
      <c r="F963" s="53"/>
    </row>
    <row r="964" spans="1:6" x14ac:dyDescent="0.3">
      <c r="A964" s="48">
        <v>45251</v>
      </c>
      <c r="B964" s="49">
        <v>104.0044</v>
      </c>
      <c r="C964" s="50">
        <f t="shared" si="33"/>
        <v>45260</v>
      </c>
      <c r="D964" s="51">
        <f t="shared" si="34"/>
        <v>105.9502</v>
      </c>
      <c r="E964" s="52"/>
      <c r="F964" s="53"/>
    </row>
    <row r="965" spans="1:6" x14ac:dyDescent="0.3">
      <c r="A965" s="48">
        <v>45252</v>
      </c>
      <c r="B965" s="49">
        <v>104.37869999999999</v>
      </c>
      <c r="C965" s="50">
        <f t="shared" si="33"/>
        <v>45260</v>
      </c>
      <c r="D965" s="51">
        <f t="shared" si="34"/>
        <v>105.9502</v>
      </c>
      <c r="E965" s="52"/>
      <c r="F965" s="53"/>
    </row>
    <row r="966" spans="1:6" x14ac:dyDescent="0.3">
      <c r="A966" s="48">
        <v>45253</v>
      </c>
      <c r="B966" s="49">
        <v>104.187</v>
      </c>
      <c r="C966" s="50">
        <f t="shared" si="33"/>
        <v>45260</v>
      </c>
      <c r="D966" s="51">
        <f t="shared" si="34"/>
        <v>105.9502</v>
      </c>
      <c r="E966" s="52"/>
      <c r="F966" s="53"/>
    </row>
    <row r="967" spans="1:6" x14ac:dyDescent="0.3">
      <c r="A967" s="48">
        <v>45254</v>
      </c>
      <c r="B967" s="49">
        <v>104.506</v>
      </c>
      <c r="C967" s="50">
        <f t="shared" si="33"/>
        <v>45260</v>
      </c>
      <c r="D967" s="51">
        <f t="shared" si="34"/>
        <v>105.9502</v>
      </c>
      <c r="E967" s="52"/>
      <c r="F967" s="53"/>
    </row>
    <row r="968" spans="1:6" x14ac:dyDescent="0.3">
      <c r="A968" s="48">
        <v>45258</v>
      </c>
      <c r="B968" s="49">
        <v>105.1266</v>
      </c>
      <c r="C968" s="50">
        <f t="shared" si="33"/>
        <v>45260</v>
      </c>
      <c r="D968" s="51">
        <f t="shared" si="34"/>
        <v>105.9502</v>
      </c>
      <c r="E968" s="52"/>
      <c r="F968" s="53"/>
    </row>
    <row r="969" spans="1:6" x14ac:dyDescent="0.3">
      <c r="A969" s="48">
        <v>45259</v>
      </c>
      <c r="B969" s="49">
        <v>105.71250000000001</v>
      </c>
      <c r="C969" s="50">
        <f t="shared" si="33"/>
        <v>45260</v>
      </c>
      <c r="D969" s="51">
        <f t="shared" si="34"/>
        <v>105.9502</v>
      </c>
      <c r="E969" s="52"/>
      <c r="F969" s="53"/>
    </row>
    <row r="970" spans="1:6" x14ac:dyDescent="0.3">
      <c r="A970" s="48">
        <v>45260</v>
      </c>
      <c r="B970" s="49">
        <v>105.9502</v>
      </c>
      <c r="C970" s="50">
        <f t="shared" si="33"/>
        <v>45260</v>
      </c>
      <c r="D970" s="51">
        <f t="shared" si="34"/>
        <v>105.9502</v>
      </c>
      <c r="E970" s="52"/>
      <c r="F970" s="53"/>
    </row>
    <row r="971" spans="1:6" x14ac:dyDescent="0.3">
      <c r="A971" s="48">
        <v>45261</v>
      </c>
      <c r="B971" s="49">
        <v>106.6208</v>
      </c>
      <c r="C971" s="50">
        <f t="shared" si="33"/>
        <v>45291</v>
      </c>
      <c r="D971" s="51">
        <f t="shared" si="34"/>
        <v>113.3913</v>
      </c>
      <c r="E971" s="52"/>
      <c r="F971" s="53"/>
    </row>
    <row r="972" spans="1:6" x14ac:dyDescent="0.3">
      <c r="A972" s="48">
        <v>45264</v>
      </c>
      <c r="B972" s="49">
        <v>107.6891</v>
      </c>
      <c r="C972" s="50">
        <f t="shared" si="33"/>
        <v>45291</v>
      </c>
      <c r="D972" s="51">
        <f t="shared" si="34"/>
        <v>113.3913</v>
      </c>
      <c r="E972" s="52"/>
      <c r="F972" s="53"/>
    </row>
    <row r="973" spans="1:6" x14ac:dyDescent="0.3">
      <c r="A973" s="48">
        <v>45265</v>
      </c>
      <c r="B973" s="49">
        <v>108.3507</v>
      </c>
      <c r="C973" s="50">
        <f t="shared" si="33"/>
        <v>45291</v>
      </c>
      <c r="D973" s="51">
        <f t="shared" si="34"/>
        <v>113.3913</v>
      </c>
      <c r="E973" s="52"/>
      <c r="F973" s="53"/>
    </row>
    <row r="974" spans="1:6" x14ac:dyDescent="0.3">
      <c r="A974" s="48">
        <v>45266</v>
      </c>
      <c r="B974" s="49">
        <v>108.53189999999999</v>
      </c>
      <c r="C974" s="50">
        <f t="shared" si="33"/>
        <v>45291</v>
      </c>
      <c r="D974" s="51">
        <f t="shared" si="34"/>
        <v>113.3913</v>
      </c>
      <c r="E974" s="52"/>
      <c r="F974" s="53"/>
    </row>
    <row r="975" spans="1:6" x14ac:dyDescent="0.3">
      <c r="A975" s="48">
        <v>45267</v>
      </c>
      <c r="B975" s="49">
        <v>108.73860000000001</v>
      </c>
      <c r="C975" s="50">
        <f t="shared" si="33"/>
        <v>45291</v>
      </c>
      <c r="D975" s="51">
        <f t="shared" si="34"/>
        <v>113.3913</v>
      </c>
      <c r="E975" s="52"/>
      <c r="F975" s="53"/>
    </row>
    <row r="976" spans="1:6" x14ac:dyDescent="0.3">
      <c r="A976" s="48">
        <v>45268</v>
      </c>
      <c r="B976" s="49">
        <v>110.0151</v>
      </c>
      <c r="C976" s="50">
        <f t="shared" si="33"/>
        <v>45291</v>
      </c>
      <c r="D976" s="51">
        <f t="shared" si="34"/>
        <v>113.3913</v>
      </c>
      <c r="E976" s="52"/>
      <c r="F976" s="53"/>
    </row>
    <row r="977" spans="1:6" x14ac:dyDescent="0.3">
      <c r="A977" s="48">
        <v>45271</v>
      </c>
      <c r="B977" s="49">
        <v>109.7662</v>
      </c>
      <c r="C977" s="50">
        <f t="shared" si="33"/>
        <v>45291</v>
      </c>
      <c r="D977" s="51">
        <f t="shared" si="34"/>
        <v>113.3913</v>
      </c>
      <c r="E977" s="52"/>
      <c r="F977" s="53"/>
    </row>
    <row r="978" spans="1:6" x14ac:dyDescent="0.3">
      <c r="A978" s="48">
        <v>45272</v>
      </c>
      <c r="B978" s="49">
        <v>109.1473</v>
      </c>
      <c r="C978" s="50">
        <f t="shared" si="33"/>
        <v>45291</v>
      </c>
      <c r="D978" s="51">
        <f t="shared" si="34"/>
        <v>113.3913</v>
      </c>
      <c r="E978" s="52"/>
      <c r="F978" s="53"/>
    </row>
    <row r="979" spans="1:6" x14ac:dyDescent="0.3">
      <c r="A979" s="48">
        <v>45273</v>
      </c>
      <c r="B979" s="49">
        <v>108.8501</v>
      </c>
      <c r="C979" s="50">
        <f t="shared" si="33"/>
        <v>45291</v>
      </c>
      <c r="D979" s="51">
        <f t="shared" si="34"/>
        <v>113.3913</v>
      </c>
      <c r="E979" s="52"/>
      <c r="F979" s="53"/>
    </row>
    <row r="980" spans="1:6" x14ac:dyDescent="0.3">
      <c r="A980" s="48">
        <v>45274</v>
      </c>
      <c r="B980" s="49">
        <v>110.194</v>
      </c>
      <c r="C980" s="50">
        <f t="shared" si="33"/>
        <v>45291</v>
      </c>
      <c r="D980" s="51">
        <f t="shared" si="34"/>
        <v>113.3913</v>
      </c>
      <c r="E980" s="52"/>
      <c r="F980" s="53"/>
    </row>
    <row r="981" spans="1:6" x14ac:dyDescent="0.3">
      <c r="A981" s="48">
        <v>45275</v>
      </c>
      <c r="B981" s="49">
        <v>111.3351</v>
      </c>
      <c r="C981" s="50">
        <f t="shared" si="33"/>
        <v>45291</v>
      </c>
      <c r="D981" s="51">
        <f t="shared" si="34"/>
        <v>113.3913</v>
      </c>
      <c r="E981" s="52"/>
      <c r="F981" s="53"/>
    </row>
    <row r="982" spans="1:6" x14ac:dyDescent="0.3">
      <c r="A982" s="48">
        <v>45278</v>
      </c>
      <c r="B982" s="49">
        <v>111.8612</v>
      </c>
      <c r="C982" s="50">
        <f t="shared" si="33"/>
        <v>45291</v>
      </c>
      <c r="D982" s="51">
        <f t="shared" si="34"/>
        <v>113.3913</v>
      </c>
      <c r="E982" s="52"/>
      <c r="F982" s="53"/>
    </row>
    <row r="983" spans="1:6" x14ac:dyDescent="0.3">
      <c r="A983" s="48">
        <v>45279</v>
      </c>
      <c r="B983" s="49">
        <v>111.70099999999999</v>
      </c>
      <c r="C983" s="50">
        <f t="shared" si="33"/>
        <v>45291</v>
      </c>
      <c r="D983" s="51">
        <f t="shared" si="34"/>
        <v>113.3913</v>
      </c>
      <c r="E983" s="52"/>
      <c r="F983" s="53"/>
    </row>
    <row r="984" spans="1:6" x14ac:dyDescent="0.3">
      <c r="A984" s="48">
        <v>45280</v>
      </c>
      <c r="B984" s="49">
        <v>109.1768</v>
      </c>
      <c r="C984" s="50">
        <f t="shared" si="33"/>
        <v>45291</v>
      </c>
      <c r="D984" s="51">
        <f t="shared" si="34"/>
        <v>113.3913</v>
      </c>
      <c r="E984" s="52"/>
      <c r="F984" s="53"/>
    </row>
    <row r="985" spans="1:6" x14ac:dyDescent="0.3">
      <c r="A985" s="48">
        <v>45281</v>
      </c>
      <c r="B985" s="49">
        <v>110.6699</v>
      </c>
      <c r="C985" s="50">
        <f t="shared" si="33"/>
        <v>45291</v>
      </c>
      <c r="D985" s="51">
        <f t="shared" si="34"/>
        <v>113.3913</v>
      </c>
      <c r="E985" s="52"/>
      <c r="F985" s="53"/>
    </row>
    <row r="986" spans="1:6" x14ac:dyDescent="0.3">
      <c r="A986" s="48">
        <v>45282</v>
      </c>
      <c r="B986" s="49">
        <v>111.2694</v>
      </c>
      <c r="C986" s="50">
        <f t="shared" si="33"/>
        <v>45291</v>
      </c>
      <c r="D986" s="51">
        <f t="shared" si="34"/>
        <v>113.3913</v>
      </c>
      <c r="E986" s="52"/>
      <c r="F986" s="53"/>
    </row>
    <row r="987" spans="1:6" x14ac:dyDescent="0.3">
      <c r="A987" s="48">
        <v>45286</v>
      </c>
      <c r="B987" s="49">
        <v>111.34350000000001</v>
      </c>
      <c r="C987" s="50">
        <f t="shared" si="33"/>
        <v>45291</v>
      </c>
      <c r="D987" s="51">
        <f t="shared" si="34"/>
        <v>113.3913</v>
      </c>
      <c r="E987" s="52"/>
      <c r="F987" s="53"/>
    </row>
    <row r="988" spans="1:6" x14ac:dyDescent="0.3">
      <c r="A988" s="48">
        <v>45287</v>
      </c>
      <c r="B988" s="49">
        <v>112.0784</v>
      </c>
      <c r="C988" s="50">
        <f t="shared" si="33"/>
        <v>45291</v>
      </c>
      <c r="D988" s="51">
        <f t="shared" si="34"/>
        <v>113.3913</v>
      </c>
      <c r="E988" s="52"/>
      <c r="F988" s="53"/>
    </row>
    <row r="989" spans="1:6" x14ac:dyDescent="0.3">
      <c r="A989" s="48">
        <v>45288</v>
      </c>
      <c r="B989" s="49">
        <v>113.45910000000001</v>
      </c>
      <c r="C989" s="50">
        <f t="shared" si="33"/>
        <v>45291</v>
      </c>
      <c r="D989" s="51">
        <f t="shared" si="34"/>
        <v>113.3913</v>
      </c>
      <c r="E989" s="52"/>
      <c r="F989" s="53"/>
    </row>
    <row r="990" spans="1:6" x14ac:dyDescent="0.3">
      <c r="A990" s="48">
        <v>45289</v>
      </c>
      <c r="B990" s="49">
        <v>113.3913</v>
      </c>
      <c r="C990" s="50">
        <f t="shared" si="33"/>
        <v>45291</v>
      </c>
      <c r="D990" s="51">
        <f t="shared" si="34"/>
        <v>113.3913</v>
      </c>
      <c r="E990" s="52"/>
      <c r="F990" s="53"/>
    </row>
    <row r="991" spans="1:6" x14ac:dyDescent="0.3">
      <c r="A991" s="48">
        <v>45292</v>
      </c>
      <c r="B991" s="49">
        <v>113.9532</v>
      </c>
      <c r="C991" s="50">
        <f t="shared" si="33"/>
        <v>45322</v>
      </c>
      <c r="D991" s="51">
        <f t="shared" si="34"/>
        <v>120.5412</v>
      </c>
      <c r="E991" s="52"/>
      <c r="F991" s="53"/>
    </row>
    <row r="992" spans="1:6" x14ac:dyDescent="0.3">
      <c r="A992" s="48">
        <v>45293</v>
      </c>
      <c r="B992" s="49">
        <v>113.86969999999999</v>
      </c>
      <c r="C992" s="50">
        <f t="shared" si="33"/>
        <v>45322</v>
      </c>
      <c r="D992" s="51">
        <f t="shared" si="34"/>
        <v>120.5412</v>
      </c>
      <c r="E992" s="52"/>
      <c r="F992" s="53"/>
    </row>
    <row r="993" spans="1:6" x14ac:dyDescent="0.3">
      <c r="A993" s="48">
        <v>45294</v>
      </c>
      <c r="B993" s="49">
        <v>113.71380000000001</v>
      </c>
      <c r="C993" s="50">
        <f t="shared" si="33"/>
        <v>45322</v>
      </c>
      <c r="D993" s="51">
        <f t="shared" si="34"/>
        <v>120.5412</v>
      </c>
      <c r="E993" s="52"/>
      <c r="F993" s="53"/>
    </row>
    <row r="994" spans="1:6" x14ac:dyDescent="0.3">
      <c r="A994" s="48">
        <v>45295</v>
      </c>
      <c r="B994" s="49">
        <v>114.7533</v>
      </c>
      <c r="C994" s="50">
        <f t="shared" si="33"/>
        <v>45322</v>
      </c>
      <c r="D994" s="51">
        <f t="shared" si="34"/>
        <v>120.5412</v>
      </c>
      <c r="E994" s="52"/>
      <c r="F994" s="53"/>
    </row>
    <row r="995" spans="1:6" x14ac:dyDescent="0.3">
      <c r="A995" s="48">
        <v>45296</v>
      </c>
      <c r="B995" s="49">
        <v>114.7067</v>
      </c>
      <c r="C995" s="50">
        <f t="shared" si="33"/>
        <v>45322</v>
      </c>
      <c r="D995" s="51">
        <f t="shared" si="34"/>
        <v>120.5412</v>
      </c>
      <c r="E995" s="52"/>
      <c r="F995" s="53"/>
    </row>
    <row r="996" spans="1:6" x14ac:dyDescent="0.3">
      <c r="A996" s="48">
        <v>45299</v>
      </c>
      <c r="B996" s="49">
        <v>114.03440000000001</v>
      </c>
      <c r="C996" s="50">
        <f t="shared" si="33"/>
        <v>45322</v>
      </c>
      <c r="D996" s="51">
        <f t="shared" si="34"/>
        <v>120.5412</v>
      </c>
      <c r="E996" s="52"/>
      <c r="F996" s="53"/>
    </row>
    <row r="997" spans="1:6" x14ac:dyDescent="0.3">
      <c r="A997" s="48">
        <v>45300</v>
      </c>
      <c r="B997" s="49">
        <v>113.96769999999999</v>
      </c>
      <c r="C997" s="50">
        <f t="shared" si="33"/>
        <v>45322</v>
      </c>
      <c r="D997" s="51">
        <f t="shared" si="34"/>
        <v>120.5412</v>
      </c>
      <c r="E997" s="52"/>
      <c r="F997" s="53"/>
    </row>
    <row r="998" spans="1:6" x14ac:dyDescent="0.3">
      <c r="A998" s="48">
        <v>45301</v>
      </c>
      <c r="B998" s="49">
        <v>114.06910000000001</v>
      </c>
      <c r="C998" s="50">
        <f t="shared" si="33"/>
        <v>45322</v>
      </c>
      <c r="D998" s="51">
        <f t="shared" si="34"/>
        <v>120.5412</v>
      </c>
      <c r="E998" s="52"/>
      <c r="F998" s="53"/>
    </row>
    <row r="999" spans="1:6" x14ac:dyDescent="0.3">
      <c r="A999" s="48">
        <v>45302</v>
      </c>
      <c r="B999" s="49">
        <v>115.5181</v>
      </c>
      <c r="C999" s="50">
        <f t="shared" si="33"/>
        <v>45322</v>
      </c>
      <c r="D999" s="51">
        <f t="shared" si="34"/>
        <v>120.5412</v>
      </c>
      <c r="E999" s="52"/>
      <c r="F999" s="53"/>
    </row>
    <row r="1000" spans="1:6" x14ac:dyDescent="0.3">
      <c r="A1000" s="48">
        <v>45303</v>
      </c>
      <c r="B1000" s="49">
        <v>116.5886</v>
      </c>
      <c r="C1000" s="50">
        <f t="shared" si="33"/>
        <v>45322</v>
      </c>
      <c r="D1000" s="51">
        <f t="shared" si="34"/>
        <v>120.5412</v>
      </c>
      <c r="E1000" s="52"/>
      <c r="F1000" s="53"/>
    </row>
    <row r="1001" spans="1:6" x14ac:dyDescent="0.3">
      <c r="A1001" s="48">
        <v>45306</v>
      </c>
      <c r="B1001" s="49">
        <v>117.5509</v>
      </c>
      <c r="C1001" s="50">
        <f t="shared" si="33"/>
        <v>45322</v>
      </c>
      <c r="D1001" s="51">
        <f t="shared" si="34"/>
        <v>120.5412</v>
      </c>
      <c r="E1001" s="52"/>
      <c r="F1001" s="53"/>
    </row>
    <row r="1002" spans="1:6" x14ac:dyDescent="0.3">
      <c r="A1002" s="48">
        <v>45307</v>
      </c>
      <c r="B1002" s="49">
        <v>116.7624</v>
      </c>
      <c r="C1002" s="50">
        <f t="shared" si="33"/>
        <v>45322</v>
      </c>
      <c r="D1002" s="51">
        <f t="shared" si="34"/>
        <v>120.5412</v>
      </c>
      <c r="E1002" s="52"/>
      <c r="F1002" s="53"/>
    </row>
    <row r="1003" spans="1:6" x14ac:dyDescent="0.3">
      <c r="A1003" s="48">
        <v>45308</v>
      </c>
      <c r="B1003" s="49">
        <v>115.46120000000001</v>
      </c>
      <c r="C1003" s="50">
        <f t="shared" si="33"/>
        <v>45322</v>
      </c>
      <c r="D1003" s="51">
        <f t="shared" si="34"/>
        <v>120.5412</v>
      </c>
      <c r="E1003" s="52"/>
      <c r="F1003" s="53"/>
    </row>
    <row r="1004" spans="1:6" x14ac:dyDescent="0.3">
      <c r="A1004" s="48">
        <v>45309</v>
      </c>
      <c r="B1004" s="49">
        <v>115.3344</v>
      </c>
      <c r="C1004" s="50">
        <f t="shared" si="33"/>
        <v>45322</v>
      </c>
      <c r="D1004" s="51">
        <f t="shared" si="34"/>
        <v>120.5412</v>
      </c>
      <c r="E1004" s="52"/>
      <c r="F1004" s="53"/>
    </row>
    <row r="1005" spans="1:6" x14ac:dyDescent="0.3">
      <c r="A1005" s="48">
        <v>45310</v>
      </c>
      <c r="B1005" s="49">
        <v>117.0682</v>
      </c>
      <c r="C1005" s="50">
        <f t="shared" si="33"/>
        <v>45322</v>
      </c>
      <c r="D1005" s="51">
        <f t="shared" si="34"/>
        <v>120.5412</v>
      </c>
      <c r="E1005" s="52"/>
      <c r="F1005" s="53"/>
    </row>
    <row r="1006" spans="1:6" x14ac:dyDescent="0.3">
      <c r="A1006" s="48">
        <v>45314</v>
      </c>
      <c r="B1006" s="49">
        <v>114.3184</v>
      </c>
      <c r="C1006" s="50">
        <f t="shared" si="33"/>
        <v>45322</v>
      </c>
      <c r="D1006" s="51">
        <f t="shared" si="34"/>
        <v>120.5412</v>
      </c>
      <c r="E1006" s="52"/>
      <c r="F1006" s="53"/>
    </row>
    <row r="1007" spans="1:6" x14ac:dyDescent="0.3">
      <c r="A1007" s="48">
        <v>45315</v>
      </c>
      <c r="B1007" s="49">
        <v>115.9795</v>
      </c>
      <c r="C1007" s="50">
        <f t="shared" si="33"/>
        <v>45322</v>
      </c>
      <c r="D1007" s="51">
        <f t="shared" si="34"/>
        <v>120.5412</v>
      </c>
      <c r="E1007" s="52"/>
      <c r="F1007" s="53"/>
    </row>
    <row r="1008" spans="1:6" x14ac:dyDescent="0.3">
      <c r="A1008" s="48">
        <v>45316</v>
      </c>
      <c r="B1008" s="49">
        <v>116.31659999999999</v>
      </c>
      <c r="C1008" s="50">
        <f t="shared" si="33"/>
        <v>45322</v>
      </c>
      <c r="D1008" s="51">
        <f t="shared" si="34"/>
        <v>120.5412</v>
      </c>
      <c r="E1008" s="52"/>
      <c r="F1008" s="53"/>
    </row>
    <row r="1009" spans="1:6" x14ac:dyDescent="0.3">
      <c r="A1009" s="48">
        <v>45320</v>
      </c>
      <c r="B1009" s="49">
        <v>118.8186</v>
      </c>
      <c r="C1009" s="50">
        <f t="shared" si="33"/>
        <v>45322</v>
      </c>
      <c r="D1009" s="51">
        <f t="shared" si="34"/>
        <v>120.5412</v>
      </c>
      <c r="E1009" s="52"/>
      <c r="F1009" s="53"/>
    </row>
    <row r="1010" spans="1:6" x14ac:dyDescent="0.3">
      <c r="A1010" s="48">
        <v>45321</v>
      </c>
      <c r="B1010" s="49">
        <v>119.5527</v>
      </c>
      <c r="C1010" s="50">
        <f t="shared" si="33"/>
        <v>45322</v>
      </c>
      <c r="D1010" s="51">
        <f t="shared" si="34"/>
        <v>120.5412</v>
      </c>
      <c r="E1010" s="52"/>
      <c r="F1010" s="53"/>
    </row>
    <row r="1011" spans="1:6" x14ac:dyDescent="0.3">
      <c r="A1011" s="48">
        <v>45322</v>
      </c>
      <c r="B1011" s="49">
        <v>120.5412</v>
      </c>
      <c r="C1011" s="50">
        <f t="shared" si="33"/>
        <v>45322</v>
      </c>
      <c r="D1011" s="51">
        <f t="shared" si="34"/>
        <v>120.5412</v>
      </c>
      <c r="E1011" s="52"/>
      <c r="F1011" s="53"/>
    </row>
    <row r="1012" spans="1:6" x14ac:dyDescent="0.3">
      <c r="A1012" s="48">
        <v>45323</v>
      </c>
      <c r="B1012" s="49">
        <v>121.4173</v>
      </c>
      <c r="C1012" s="50">
        <f t="shared" si="33"/>
        <v>45351</v>
      </c>
      <c r="D1012" s="51">
        <f t="shared" si="34"/>
        <v>126.8509</v>
      </c>
      <c r="E1012" s="52"/>
      <c r="F1012" s="53"/>
    </row>
    <row r="1013" spans="1:6" x14ac:dyDescent="0.3">
      <c r="A1013" s="48">
        <v>45324</v>
      </c>
      <c r="B1013" s="49">
        <v>122.5258</v>
      </c>
      <c r="C1013" s="50">
        <f t="shared" si="33"/>
        <v>45351</v>
      </c>
      <c r="D1013" s="51">
        <f t="shared" si="34"/>
        <v>126.8509</v>
      </c>
      <c r="E1013" s="52"/>
      <c r="F1013" s="53"/>
    </row>
    <row r="1014" spans="1:6" x14ac:dyDescent="0.3">
      <c r="A1014" s="48">
        <v>45327</v>
      </c>
      <c r="B1014" s="49">
        <v>123.6622</v>
      </c>
      <c r="C1014" s="50">
        <f t="shared" si="33"/>
        <v>45351</v>
      </c>
      <c r="D1014" s="51">
        <f t="shared" si="34"/>
        <v>126.8509</v>
      </c>
      <c r="E1014" s="52"/>
      <c r="F1014" s="53"/>
    </row>
    <row r="1015" spans="1:6" x14ac:dyDescent="0.3">
      <c r="A1015" s="48">
        <v>45328</v>
      </c>
      <c r="B1015" s="49">
        <v>123.5971</v>
      </c>
      <c r="C1015" s="50">
        <f t="shared" si="33"/>
        <v>45351</v>
      </c>
      <c r="D1015" s="51">
        <f t="shared" si="34"/>
        <v>126.8509</v>
      </c>
      <c r="E1015" s="52"/>
      <c r="F1015" s="53"/>
    </row>
    <row r="1016" spans="1:6" x14ac:dyDescent="0.3">
      <c r="A1016" s="48">
        <v>45329</v>
      </c>
      <c r="B1016" s="49">
        <v>124.01609999999999</v>
      </c>
      <c r="C1016" s="50">
        <f t="shared" si="33"/>
        <v>45351</v>
      </c>
      <c r="D1016" s="51">
        <f t="shared" si="34"/>
        <v>126.8509</v>
      </c>
      <c r="E1016" s="52"/>
      <c r="F1016" s="53"/>
    </row>
    <row r="1017" spans="1:6" x14ac:dyDescent="0.3">
      <c r="A1017" s="48">
        <v>45330</v>
      </c>
      <c r="B1017" s="49">
        <v>123.9756</v>
      </c>
      <c r="C1017" s="50">
        <f t="shared" si="33"/>
        <v>45351</v>
      </c>
      <c r="D1017" s="51">
        <f t="shared" si="34"/>
        <v>126.8509</v>
      </c>
      <c r="E1017" s="52"/>
      <c r="F1017" s="53"/>
    </row>
    <row r="1018" spans="1:6" x14ac:dyDescent="0.3">
      <c r="A1018" s="48">
        <v>45331</v>
      </c>
      <c r="B1018" s="49">
        <v>125.383</v>
      </c>
      <c r="C1018" s="50">
        <f t="shared" si="33"/>
        <v>45351</v>
      </c>
      <c r="D1018" s="51">
        <f t="shared" si="34"/>
        <v>126.8509</v>
      </c>
      <c r="E1018" s="52"/>
      <c r="F1018" s="53"/>
    </row>
    <row r="1019" spans="1:6" x14ac:dyDescent="0.3">
      <c r="A1019" s="48">
        <v>45334</v>
      </c>
      <c r="B1019" s="49">
        <v>123.0398</v>
      </c>
      <c r="C1019" s="50">
        <f t="shared" si="33"/>
        <v>45351</v>
      </c>
      <c r="D1019" s="51">
        <f t="shared" si="34"/>
        <v>126.8509</v>
      </c>
      <c r="E1019" s="52"/>
      <c r="F1019" s="53"/>
    </row>
    <row r="1020" spans="1:6" x14ac:dyDescent="0.3">
      <c r="A1020" s="48">
        <v>45335</v>
      </c>
      <c r="B1020" s="49">
        <v>123.6932</v>
      </c>
      <c r="C1020" s="50">
        <f t="shared" si="33"/>
        <v>45351</v>
      </c>
      <c r="D1020" s="51">
        <f t="shared" si="34"/>
        <v>126.8509</v>
      </c>
      <c r="E1020" s="52"/>
      <c r="F1020" s="53"/>
    </row>
    <row r="1021" spans="1:6" x14ac:dyDescent="0.3">
      <c r="A1021" s="48">
        <v>45336</v>
      </c>
      <c r="B1021" s="49">
        <v>125.53570000000001</v>
      </c>
      <c r="C1021" s="50">
        <f t="shared" si="33"/>
        <v>45351</v>
      </c>
      <c r="D1021" s="51">
        <f t="shared" si="34"/>
        <v>126.8509</v>
      </c>
      <c r="E1021" s="52"/>
      <c r="F1021" s="53"/>
    </row>
    <row r="1022" spans="1:6" x14ac:dyDescent="0.3">
      <c r="A1022" s="48">
        <v>45337</v>
      </c>
      <c r="B1022" s="49">
        <v>126.4663</v>
      </c>
      <c r="C1022" s="50">
        <f t="shared" si="33"/>
        <v>45351</v>
      </c>
      <c r="D1022" s="51">
        <f t="shared" si="34"/>
        <v>126.8509</v>
      </c>
      <c r="E1022" s="52"/>
      <c r="F1022" s="53"/>
    </row>
    <row r="1023" spans="1:6" x14ac:dyDescent="0.3">
      <c r="A1023" s="48">
        <v>45338</v>
      </c>
      <c r="B1023" s="49">
        <v>125.80119999999999</v>
      </c>
      <c r="C1023" s="50">
        <f t="shared" si="33"/>
        <v>45351</v>
      </c>
      <c r="D1023" s="51">
        <f t="shared" si="34"/>
        <v>126.8509</v>
      </c>
      <c r="E1023" s="52"/>
      <c r="F1023" s="53"/>
    </row>
    <row r="1024" spans="1:6" x14ac:dyDescent="0.3">
      <c r="A1024" s="48">
        <v>45341</v>
      </c>
      <c r="B1024" s="49">
        <v>126.0491</v>
      </c>
      <c r="C1024" s="50">
        <f t="shared" si="33"/>
        <v>45351</v>
      </c>
      <c r="D1024" s="51">
        <f t="shared" si="34"/>
        <v>126.8509</v>
      </c>
      <c r="E1024" s="52"/>
      <c r="F1024" s="53"/>
    </row>
    <row r="1025" spans="1:6" x14ac:dyDescent="0.3">
      <c r="A1025" s="48">
        <v>45342</v>
      </c>
      <c r="B1025" s="49">
        <v>126.2342</v>
      </c>
      <c r="C1025" s="50">
        <f t="shared" si="33"/>
        <v>45351</v>
      </c>
      <c r="D1025" s="51">
        <f t="shared" si="34"/>
        <v>126.8509</v>
      </c>
      <c r="E1025" s="52"/>
      <c r="F1025" s="53"/>
    </row>
    <row r="1026" spans="1:6" x14ac:dyDescent="0.3">
      <c r="A1026" s="48">
        <v>45343</v>
      </c>
      <c r="B1026" s="49">
        <v>126.4539</v>
      </c>
      <c r="C1026" s="50">
        <f t="shared" si="33"/>
        <v>45351</v>
      </c>
      <c r="D1026" s="51">
        <f t="shared" si="34"/>
        <v>126.8509</v>
      </c>
      <c r="E1026" s="52"/>
      <c r="F1026" s="53"/>
    </row>
    <row r="1027" spans="1:6" x14ac:dyDescent="0.3">
      <c r="A1027" s="48">
        <v>45344</v>
      </c>
      <c r="B1027" s="49">
        <v>127.7037</v>
      </c>
      <c r="C1027" s="50">
        <f t="shared" ref="C1027:C1090" si="35">EOMONTH(A1027,0)</f>
        <v>45351</v>
      </c>
      <c r="D1027" s="51">
        <f t="shared" ref="D1027:D1090" si="36">INDEX($B$3:$B$2001, MATCH($C1027, $A$3:$A$2001, 1))</f>
        <v>126.8509</v>
      </c>
      <c r="E1027" s="52"/>
      <c r="F1027" s="53"/>
    </row>
    <row r="1028" spans="1:6" x14ac:dyDescent="0.3">
      <c r="A1028" s="48">
        <v>45345</v>
      </c>
      <c r="B1028" s="49">
        <v>129.62090000000001</v>
      </c>
      <c r="C1028" s="50">
        <f t="shared" si="35"/>
        <v>45351</v>
      </c>
      <c r="D1028" s="51">
        <f t="shared" si="36"/>
        <v>126.8509</v>
      </c>
      <c r="E1028" s="52"/>
      <c r="F1028" s="53"/>
    </row>
    <row r="1029" spans="1:6" x14ac:dyDescent="0.3">
      <c r="A1029" s="48">
        <v>45348</v>
      </c>
      <c r="B1029" s="49">
        <v>129.60329999999999</v>
      </c>
      <c r="C1029" s="50">
        <f t="shared" si="35"/>
        <v>45351</v>
      </c>
      <c r="D1029" s="51">
        <f t="shared" si="36"/>
        <v>126.8509</v>
      </c>
      <c r="E1029" s="52"/>
      <c r="F1029" s="53"/>
    </row>
    <row r="1030" spans="1:6" x14ac:dyDescent="0.3">
      <c r="A1030" s="48">
        <v>45349</v>
      </c>
      <c r="B1030" s="49">
        <v>128.67259999999999</v>
      </c>
      <c r="C1030" s="50">
        <f t="shared" si="35"/>
        <v>45351</v>
      </c>
      <c r="D1030" s="51">
        <f t="shared" si="36"/>
        <v>126.8509</v>
      </c>
      <c r="E1030" s="52"/>
      <c r="F1030" s="53"/>
    </row>
    <row r="1031" spans="1:6" x14ac:dyDescent="0.3">
      <c r="A1031" s="48">
        <v>45350</v>
      </c>
      <c r="B1031" s="49">
        <v>126.62090000000001</v>
      </c>
      <c r="C1031" s="50">
        <f t="shared" si="35"/>
        <v>45351</v>
      </c>
      <c r="D1031" s="51">
        <f t="shared" si="36"/>
        <v>126.8509</v>
      </c>
      <c r="E1031" s="52"/>
      <c r="F1031" s="53"/>
    </row>
    <row r="1032" spans="1:6" x14ac:dyDescent="0.3">
      <c r="A1032" s="48">
        <v>45351</v>
      </c>
      <c r="B1032" s="49">
        <v>126.8509</v>
      </c>
      <c r="C1032" s="50">
        <f t="shared" si="35"/>
        <v>45351</v>
      </c>
      <c r="D1032" s="51">
        <f t="shared" si="36"/>
        <v>126.8509</v>
      </c>
      <c r="E1032" s="52"/>
      <c r="F1032" s="53"/>
    </row>
    <row r="1033" spans="1:6" x14ac:dyDescent="0.3">
      <c r="A1033" s="48">
        <v>45352</v>
      </c>
      <c r="B1033" s="49">
        <v>128.3664</v>
      </c>
      <c r="C1033" s="50">
        <f t="shared" si="35"/>
        <v>45382</v>
      </c>
      <c r="D1033" s="51">
        <f t="shared" si="36"/>
        <v>128.4136</v>
      </c>
      <c r="E1033" s="52"/>
      <c r="F1033" s="53"/>
    </row>
    <row r="1034" spans="1:6" x14ac:dyDescent="0.3">
      <c r="A1034" s="48">
        <v>45355</v>
      </c>
      <c r="B1034" s="49">
        <v>129.74299999999999</v>
      </c>
      <c r="C1034" s="50">
        <f t="shared" si="35"/>
        <v>45382</v>
      </c>
      <c r="D1034" s="51">
        <f t="shared" si="36"/>
        <v>128.4136</v>
      </c>
      <c r="E1034" s="52"/>
      <c r="F1034" s="53"/>
    </row>
    <row r="1035" spans="1:6" x14ac:dyDescent="0.3">
      <c r="A1035" s="48">
        <v>45356</v>
      </c>
      <c r="B1035" s="49">
        <v>129.50219999999999</v>
      </c>
      <c r="C1035" s="50">
        <f t="shared" si="35"/>
        <v>45382</v>
      </c>
      <c r="D1035" s="51">
        <f t="shared" si="36"/>
        <v>128.4136</v>
      </c>
      <c r="E1035" s="52"/>
      <c r="F1035" s="53"/>
    </row>
    <row r="1036" spans="1:6" x14ac:dyDescent="0.3">
      <c r="A1036" s="48">
        <v>45357</v>
      </c>
      <c r="B1036" s="49">
        <v>128.81899999999999</v>
      </c>
      <c r="C1036" s="50">
        <f t="shared" si="35"/>
        <v>45382</v>
      </c>
      <c r="D1036" s="51">
        <f t="shared" si="36"/>
        <v>128.4136</v>
      </c>
      <c r="E1036" s="52"/>
      <c r="F1036" s="53"/>
    </row>
    <row r="1037" spans="1:6" x14ac:dyDescent="0.3">
      <c r="A1037" s="48">
        <v>45358</v>
      </c>
      <c r="B1037" s="49">
        <v>129.31739999999999</v>
      </c>
      <c r="C1037" s="50">
        <f t="shared" si="35"/>
        <v>45382</v>
      </c>
      <c r="D1037" s="51">
        <f t="shared" si="36"/>
        <v>128.4136</v>
      </c>
      <c r="E1037" s="52"/>
      <c r="F1037" s="53"/>
    </row>
    <row r="1038" spans="1:6" x14ac:dyDescent="0.3">
      <c r="A1038" s="48">
        <v>45362</v>
      </c>
      <c r="B1038" s="49">
        <v>129.01050000000001</v>
      </c>
      <c r="C1038" s="50">
        <f t="shared" si="35"/>
        <v>45382</v>
      </c>
      <c r="D1038" s="51">
        <f t="shared" si="36"/>
        <v>128.4136</v>
      </c>
      <c r="E1038" s="52"/>
      <c r="F1038" s="53"/>
    </row>
    <row r="1039" spans="1:6" x14ac:dyDescent="0.3">
      <c r="A1039" s="48">
        <v>45363</v>
      </c>
      <c r="B1039" s="49">
        <v>127.8981</v>
      </c>
      <c r="C1039" s="50">
        <f t="shared" si="35"/>
        <v>45382</v>
      </c>
      <c r="D1039" s="51">
        <f t="shared" si="36"/>
        <v>128.4136</v>
      </c>
      <c r="E1039" s="52"/>
      <c r="F1039" s="53"/>
    </row>
    <row r="1040" spans="1:6" x14ac:dyDescent="0.3">
      <c r="A1040" s="48">
        <v>45364</v>
      </c>
      <c r="B1040" s="49">
        <v>122.6665</v>
      </c>
      <c r="C1040" s="50">
        <f t="shared" si="35"/>
        <v>45382</v>
      </c>
      <c r="D1040" s="51">
        <f t="shared" si="36"/>
        <v>128.4136</v>
      </c>
      <c r="E1040" s="52"/>
      <c r="F1040" s="53"/>
    </row>
    <row r="1041" spans="1:6" x14ac:dyDescent="0.3">
      <c r="A1041" s="48">
        <v>45365</v>
      </c>
      <c r="B1041" s="49">
        <v>124.973</v>
      </c>
      <c r="C1041" s="50">
        <f t="shared" si="35"/>
        <v>45382</v>
      </c>
      <c r="D1041" s="51">
        <f t="shared" si="36"/>
        <v>128.4136</v>
      </c>
      <c r="E1041" s="52"/>
      <c r="F1041" s="53"/>
    </row>
    <row r="1042" spans="1:6" x14ac:dyDescent="0.3">
      <c r="A1042" s="48">
        <v>45366</v>
      </c>
      <c r="B1042" s="49">
        <v>124.9345</v>
      </c>
      <c r="C1042" s="50">
        <f t="shared" si="35"/>
        <v>45382</v>
      </c>
      <c r="D1042" s="51">
        <f t="shared" si="36"/>
        <v>128.4136</v>
      </c>
      <c r="E1042" s="52"/>
      <c r="F1042" s="53"/>
    </row>
    <row r="1043" spans="1:6" x14ac:dyDescent="0.3">
      <c r="A1043" s="48">
        <v>45369</v>
      </c>
      <c r="B1043" s="49">
        <v>126.1602</v>
      </c>
      <c r="C1043" s="50">
        <f t="shared" si="35"/>
        <v>45382</v>
      </c>
      <c r="D1043" s="51">
        <f t="shared" si="36"/>
        <v>128.4136</v>
      </c>
      <c r="E1043" s="52"/>
      <c r="F1043" s="53"/>
    </row>
    <row r="1044" spans="1:6" x14ac:dyDescent="0.3">
      <c r="A1044" s="48">
        <v>45370</v>
      </c>
      <c r="B1044" s="49">
        <v>124.6281</v>
      </c>
      <c r="C1044" s="50">
        <f t="shared" si="35"/>
        <v>45382</v>
      </c>
      <c r="D1044" s="51">
        <f t="shared" si="36"/>
        <v>128.4136</v>
      </c>
      <c r="E1044" s="52"/>
      <c r="F1044" s="53"/>
    </row>
    <row r="1045" spans="1:6" x14ac:dyDescent="0.3">
      <c r="A1045" s="48">
        <v>45371</v>
      </c>
      <c r="B1045" s="49">
        <v>124.2873</v>
      </c>
      <c r="C1045" s="50">
        <f t="shared" si="35"/>
        <v>45382</v>
      </c>
      <c r="D1045" s="51">
        <f t="shared" si="36"/>
        <v>128.4136</v>
      </c>
      <c r="E1045" s="52"/>
      <c r="F1045" s="53"/>
    </row>
    <row r="1046" spans="1:6" x14ac:dyDescent="0.3">
      <c r="A1046" s="48">
        <v>45372</v>
      </c>
      <c r="B1046" s="49">
        <v>126.69710000000001</v>
      </c>
      <c r="C1046" s="50">
        <f t="shared" si="35"/>
        <v>45382</v>
      </c>
      <c r="D1046" s="51">
        <f t="shared" si="36"/>
        <v>128.4136</v>
      </c>
      <c r="E1046" s="52"/>
      <c r="F1046" s="53"/>
    </row>
    <row r="1047" spans="1:6" x14ac:dyDescent="0.3">
      <c r="A1047" s="48">
        <v>45373</v>
      </c>
      <c r="B1047" s="49">
        <v>126.9327</v>
      </c>
      <c r="C1047" s="50">
        <f t="shared" si="35"/>
        <v>45382</v>
      </c>
      <c r="D1047" s="51">
        <f t="shared" si="36"/>
        <v>128.4136</v>
      </c>
      <c r="E1047" s="52"/>
      <c r="F1047" s="53"/>
    </row>
    <row r="1048" spans="1:6" x14ac:dyDescent="0.3">
      <c r="A1048" s="48">
        <v>45377</v>
      </c>
      <c r="B1048" s="49">
        <v>127.4143</v>
      </c>
      <c r="C1048" s="50">
        <f t="shared" si="35"/>
        <v>45382</v>
      </c>
      <c r="D1048" s="51">
        <f t="shared" si="36"/>
        <v>128.4136</v>
      </c>
      <c r="E1048" s="52"/>
      <c r="F1048" s="53"/>
    </row>
    <row r="1049" spans="1:6" x14ac:dyDescent="0.3">
      <c r="A1049" s="48">
        <v>45378</v>
      </c>
      <c r="B1049" s="49">
        <v>127.6425</v>
      </c>
      <c r="C1049" s="50">
        <f t="shared" si="35"/>
        <v>45382</v>
      </c>
      <c r="D1049" s="51">
        <f t="shared" si="36"/>
        <v>128.4136</v>
      </c>
      <c r="E1049" s="52"/>
      <c r="F1049" s="53"/>
    </row>
    <row r="1050" spans="1:6" x14ac:dyDescent="0.3">
      <c r="A1050" s="48">
        <v>45379</v>
      </c>
      <c r="B1050" s="49">
        <v>128.41130000000001</v>
      </c>
      <c r="C1050" s="50">
        <f t="shared" si="35"/>
        <v>45382</v>
      </c>
      <c r="D1050" s="51">
        <f t="shared" si="36"/>
        <v>128.4136</v>
      </c>
      <c r="E1050" s="52"/>
      <c r="F1050" s="53"/>
    </row>
    <row r="1051" spans="1:6" x14ac:dyDescent="0.3">
      <c r="A1051" s="48">
        <v>45382</v>
      </c>
      <c r="B1051" s="49">
        <v>128.4136</v>
      </c>
      <c r="C1051" s="50">
        <f t="shared" si="35"/>
        <v>45382</v>
      </c>
      <c r="D1051" s="51">
        <f t="shared" si="36"/>
        <v>128.4136</v>
      </c>
      <c r="E1051" s="52"/>
      <c r="F1051" s="53"/>
    </row>
    <row r="1052" spans="1:6" x14ac:dyDescent="0.3">
      <c r="A1052" s="48">
        <v>45383</v>
      </c>
      <c r="B1052" s="49">
        <v>131.22470000000001</v>
      </c>
      <c r="C1052" s="50">
        <f t="shared" si="35"/>
        <v>45412</v>
      </c>
      <c r="D1052" s="51">
        <f t="shared" si="36"/>
        <v>136.8339</v>
      </c>
      <c r="E1052" s="52"/>
      <c r="F1052" s="53"/>
    </row>
    <row r="1053" spans="1:6" x14ac:dyDescent="0.3">
      <c r="A1053" s="48">
        <v>45384</v>
      </c>
      <c r="B1053" s="49">
        <v>132.2561</v>
      </c>
      <c r="C1053" s="50">
        <f t="shared" si="35"/>
        <v>45412</v>
      </c>
      <c r="D1053" s="51">
        <f t="shared" si="36"/>
        <v>136.8339</v>
      </c>
      <c r="E1053" s="52"/>
      <c r="F1053" s="53"/>
    </row>
    <row r="1054" spans="1:6" x14ac:dyDescent="0.3">
      <c r="A1054" s="48">
        <v>45385</v>
      </c>
      <c r="B1054" s="49">
        <v>133.10820000000001</v>
      </c>
      <c r="C1054" s="50">
        <f t="shared" si="35"/>
        <v>45412</v>
      </c>
      <c r="D1054" s="51">
        <f t="shared" si="36"/>
        <v>136.8339</v>
      </c>
      <c r="E1054" s="52"/>
      <c r="F1054" s="53"/>
    </row>
    <row r="1055" spans="1:6" x14ac:dyDescent="0.3">
      <c r="A1055" s="48">
        <v>45386</v>
      </c>
      <c r="B1055" s="49">
        <v>134.0977</v>
      </c>
      <c r="C1055" s="50">
        <f t="shared" si="35"/>
        <v>45412</v>
      </c>
      <c r="D1055" s="51">
        <f t="shared" si="36"/>
        <v>136.8339</v>
      </c>
      <c r="E1055" s="52"/>
      <c r="F1055" s="53"/>
    </row>
    <row r="1056" spans="1:6" x14ac:dyDescent="0.3">
      <c r="A1056" s="48">
        <v>45387</v>
      </c>
      <c r="B1056" s="49">
        <v>134.4059</v>
      </c>
      <c r="C1056" s="50">
        <f t="shared" si="35"/>
        <v>45412</v>
      </c>
      <c r="D1056" s="51">
        <f t="shared" si="36"/>
        <v>136.8339</v>
      </c>
      <c r="E1056" s="52"/>
      <c r="F1056" s="53"/>
    </row>
    <row r="1057" spans="1:6" x14ac:dyDescent="0.3">
      <c r="A1057" s="48">
        <v>45390</v>
      </c>
      <c r="B1057" s="49">
        <v>134.99700000000001</v>
      </c>
      <c r="C1057" s="50">
        <f t="shared" si="35"/>
        <v>45412</v>
      </c>
      <c r="D1057" s="51">
        <f t="shared" si="36"/>
        <v>136.8339</v>
      </c>
      <c r="E1057" s="52"/>
      <c r="F1057" s="53"/>
    </row>
    <row r="1058" spans="1:6" x14ac:dyDescent="0.3">
      <c r="A1058" s="48">
        <v>45391</v>
      </c>
      <c r="B1058" s="49">
        <v>135.78360000000001</v>
      </c>
      <c r="C1058" s="50">
        <f t="shared" si="35"/>
        <v>45412</v>
      </c>
      <c r="D1058" s="51">
        <f t="shared" si="36"/>
        <v>136.8339</v>
      </c>
      <c r="E1058" s="52"/>
      <c r="F1058" s="53"/>
    </row>
    <row r="1059" spans="1:6" x14ac:dyDescent="0.3">
      <c r="A1059" s="48">
        <v>45392</v>
      </c>
      <c r="B1059" s="49">
        <v>135.8887</v>
      </c>
      <c r="C1059" s="50">
        <f t="shared" si="35"/>
        <v>45412</v>
      </c>
      <c r="D1059" s="51">
        <f t="shared" si="36"/>
        <v>136.8339</v>
      </c>
      <c r="E1059" s="52"/>
      <c r="F1059" s="53"/>
    </row>
    <row r="1060" spans="1:6" x14ac:dyDescent="0.3">
      <c r="A1060" s="48">
        <v>45394</v>
      </c>
      <c r="B1060" s="49">
        <v>135.56100000000001</v>
      </c>
      <c r="C1060" s="50">
        <f t="shared" si="35"/>
        <v>45412</v>
      </c>
      <c r="D1060" s="51">
        <f t="shared" si="36"/>
        <v>136.8339</v>
      </c>
      <c r="E1060" s="52"/>
      <c r="F1060" s="53"/>
    </row>
    <row r="1061" spans="1:6" x14ac:dyDescent="0.3">
      <c r="A1061" s="48">
        <v>45397</v>
      </c>
      <c r="B1061" s="49">
        <v>134.2928</v>
      </c>
      <c r="C1061" s="50">
        <f t="shared" si="35"/>
        <v>45412</v>
      </c>
      <c r="D1061" s="51">
        <f t="shared" si="36"/>
        <v>136.8339</v>
      </c>
      <c r="E1061" s="52"/>
      <c r="F1061" s="53"/>
    </row>
    <row r="1062" spans="1:6" x14ac:dyDescent="0.3">
      <c r="A1062" s="48">
        <v>45398</v>
      </c>
      <c r="B1062" s="49">
        <v>134.672</v>
      </c>
      <c r="C1062" s="50">
        <f t="shared" si="35"/>
        <v>45412</v>
      </c>
      <c r="D1062" s="51">
        <f t="shared" si="36"/>
        <v>136.8339</v>
      </c>
      <c r="E1062" s="52"/>
      <c r="F1062" s="53"/>
    </row>
    <row r="1063" spans="1:6" x14ac:dyDescent="0.3">
      <c r="A1063" s="48">
        <v>45400</v>
      </c>
      <c r="B1063" s="49">
        <v>134.8604</v>
      </c>
      <c r="C1063" s="50">
        <f t="shared" si="35"/>
        <v>45412</v>
      </c>
      <c r="D1063" s="51">
        <f t="shared" si="36"/>
        <v>136.8339</v>
      </c>
      <c r="E1063" s="52"/>
      <c r="F1063" s="53"/>
    </row>
    <row r="1064" spans="1:6" x14ac:dyDescent="0.3">
      <c r="A1064" s="48">
        <v>45401</v>
      </c>
      <c r="B1064" s="49">
        <v>134.73580000000001</v>
      </c>
      <c r="C1064" s="50">
        <f t="shared" si="35"/>
        <v>45412</v>
      </c>
      <c r="D1064" s="51">
        <f t="shared" si="36"/>
        <v>136.8339</v>
      </c>
      <c r="E1064" s="52"/>
      <c r="F1064" s="53"/>
    </row>
    <row r="1065" spans="1:6" x14ac:dyDescent="0.3">
      <c r="A1065" s="48">
        <v>45404</v>
      </c>
      <c r="B1065" s="49">
        <v>135.27449999999999</v>
      </c>
      <c r="C1065" s="50">
        <f t="shared" si="35"/>
        <v>45412</v>
      </c>
      <c r="D1065" s="51">
        <f t="shared" si="36"/>
        <v>136.8339</v>
      </c>
      <c r="E1065" s="52"/>
      <c r="F1065" s="53"/>
    </row>
    <row r="1066" spans="1:6" x14ac:dyDescent="0.3">
      <c r="A1066" s="48">
        <v>45405</v>
      </c>
      <c r="B1066" s="49">
        <v>135.2567</v>
      </c>
      <c r="C1066" s="50">
        <f t="shared" si="35"/>
        <v>45412</v>
      </c>
      <c r="D1066" s="51">
        <f t="shared" si="36"/>
        <v>136.8339</v>
      </c>
      <c r="E1066" s="52"/>
      <c r="F1066" s="53"/>
    </row>
    <row r="1067" spans="1:6" x14ac:dyDescent="0.3">
      <c r="A1067" s="48">
        <v>45406</v>
      </c>
      <c r="B1067" s="49">
        <v>135.7911</v>
      </c>
      <c r="C1067" s="50">
        <f t="shared" si="35"/>
        <v>45412</v>
      </c>
      <c r="D1067" s="51">
        <f t="shared" si="36"/>
        <v>136.8339</v>
      </c>
      <c r="E1067" s="52"/>
      <c r="F1067" s="53"/>
    </row>
    <row r="1068" spans="1:6" x14ac:dyDescent="0.3">
      <c r="A1068" s="48">
        <v>45407</v>
      </c>
      <c r="B1068" s="49">
        <v>136.26490000000001</v>
      </c>
      <c r="C1068" s="50">
        <f t="shared" si="35"/>
        <v>45412</v>
      </c>
      <c r="D1068" s="51">
        <f t="shared" si="36"/>
        <v>136.8339</v>
      </c>
      <c r="E1068" s="52"/>
      <c r="F1068" s="53"/>
    </row>
    <row r="1069" spans="1:6" x14ac:dyDescent="0.3">
      <c r="A1069" s="48">
        <v>45408</v>
      </c>
      <c r="B1069" s="49">
        <v>137.37690000000001</v>
      </c>
      <c r="C1069" s="50">
        <f t="shared" si="35"/>
        <v>45412</v>
      </c>
      <c r="D1069" s="51">
        <f t="shared" si="36"/>
        <v>136.8339</v>
      </c>
      <c r="E1069" s="52"/>
      <c r="F1069" s="53"/>
    </row>
    <row r="1070" spans="1:6" x14ac:dyDescent="0.3">
      <c r="A1070" s="48">
        <v>45411</v>
      </c>
      <c r="B1070" s="49">
        <v>137.32490000000001</v>
      </c>
      <c r="C1070" s="50">
        <f t="shared" si="35"/>
        <v>45412</v>
      </c>
      <c r="D1070" s="51">
        <f t="shared" si="36"/>
        <v>136.8339</v>
      </c>
      <c r="E1070" s="52"/>
      <c r="F1070" s="53"/>
    </row>
    <row r="1071" spans="1:6" x14ac:dyDescent="0.3">
      <c r="A1071" s="48">
        <v>45412</v>
      </c>
      <c r="B1071" s="49">
        <v>136.8339</v>
      </c>
      <c r="C1071" s="50">
        <f t="shared" si="35"/>
        <v>45412</v>
      </c>
      <c r="D1071" s="51">
        <f t="shared" si="36"/>
        <v>136.8339</v>
      </c>
      <c r="E1071" s="52"/>
      <c r="F1071" s="53"/>
    </row>
    <row r="1072" spans="1:6" x14ac:dyDescent="0.3">
      <c r="A1072" s="48">
        <v>45414</v>
      </c>
      <c r="B1072" s="49">
        <v>136.8724</v>
      </c>
      <c r="C1072" s="50">
        <f t="shared" si="35"/>
        <v>45443</v>
      </c>
      <c r="D1072" s="51">
        <f t="shared" si="36"/>
        <v>138.8331</v>
      </c>
      <c r="E1072" s="52"/>
      <c r="F1072" s="53"/>
    </row>
    <row r="1073" spans="1:6" x14ac:dyDescent="0.3">
      <c r="A1073" s="48">
        <v>45415</v>
      </c>
      <c r="B1073" s="49">
        <v>136.1532</v>
      </c>
      <c r="C1073" s="50">
        <f t="shared" si="35"/>
        <v>45443</v>
      </c>
      <c r="D1073" s="51">
        <f t="shared" si="36"/>
        <v>138.8331</v>
      </c>
      <c r="E1073" s="52"/>
      <c r="F1073" s="53"/>
    </row>
    <row r="1074" spans="1:6" x14ac:dyDescent="0.3">
      <c r="A1074" s="48">
        <v>45418</v>
      </c>
      <c r="B1074" s="49">
        <v>135.18119999999999</v>
      </c>
      <c r="C1074" s="50">
        <f t="shared" si="35"/>
        <v>45443</v>
      </c>
      <c r="D1074" s="51">
        <f t="shared" si="36"/>
        <v>138.8331</v>
      </c>
      <c r="E1074" s="52"/>
      <c r="F1074" s="53"/>
    </row>
    <row r="1075" spans="1:6" x14ac:dyDescent="0.3">
      <c r="A1075" s="48">
        <v>45419</v>
      </c>
      <c r="B1075" s="49">
        <v>133.94800000000001</v>
      </c>
      <c r="C1075" s="50">
        <f t="shared" si="35"/>
        <v>45443</v>
      </c>
      <c r="D1075" s="51">
        <f t="shared" si="36"/>
        <v>138.8331</v>
      </c>
      <c r="E1075" s="52"/>
      <c r="F1075" s="53"/>
    </row>
    <row r="1076" spans="1:6" x14ac:dyDescent="0.3">
      <c r="A1076" s="48">
        <v>45420</v>
      </c>
      <c r="B1076" s="49">
        <v>134.68350000000001</v>
      </c>
      <c r="C1076" s="50">
        <f t="shared" si="35"/>
        <v>45443</v>
      </c>
      <c r="D1076" s="51">
        <f t="shared" si="36"/>
        <v>138.8331</v>
      </c>
      <c r="E1076" s="52"/>
      <c r="F1076" s="53"/>
    </row>
    <row r="1077" spans="1:6" x14ac:dyDescent="0.3">
      <c r="A1077" s="48">
        <v>45421</v>
      </c>
      <c r="B1077" s="49">
        <v>133.80590000000001</v>
      </c>
      <c r="C1077" s="50">
        <f t="shared" si="35"/>
        <v>45443</v>
      </c>
      <c r="D1077" s="51">
        <f t="shared" si="36"/>
        <v>138.8331</v>
      </c>
      <c r="E1077" s="52"/>
      <c r="F1077" s="53"/>
    </row>
    <row r="1078" spans="1:6" x14ac:dyDescent="0.3">
      <c r="A1078" s="48">
        <v>45422</v>
      </c>
      <c r="B1078" s="49">
        <v>134.44900000000001</v>
      </c>
      <c r="C1078" s="50">
        <f t="shared" si="35"/>
        <v>45443</v>
      </c>
      <c r="D1078" s="51">
        <f t="shared" si="36"/>
        <v>138.8331</v>
      </c>
      <c r="E1078" s="52"/>
      <c r="F1078" s="53"/>
    </row>
    <row r="1079" spans="1:6" x14ac:dyDescent="0.3">
      <c r="A1079" s="48">
        <v>45425</v>
      </c>
      <c r="B1079" s="49">
        <v>134.10069999999999</v>
      </c>
      <c r="C1079" s="50">
        <f t="shared" si="35"/>
        <v>45443</v>
      </c>
      <c r="D1079" s="51">
        <f t="shared" si="36"/>
        <v>138.8331</v>
      </c>
      <c r="E1079" s="52"/>
      <c r="F1079" s="53"/>
    </row>
    <row r="1080" spans="1:6" x14ac:dyDescent="0.3">
      <c r="A1080" s="48">
        <v>45426</v>
      </c>
      <c r="B1080" s="49">
        <v>135.70359999999999</v>
      </c>
      <c r="C1080" s="50">
        <f t="shared" si="35"/>
        <v>45443</v>
      </c>
      <c r="D1080" s="51">
        <f t="shared" si="36"/>
        <v>138.8331</v>
      </c>
      <c r="E1080" s="52"/>
      <c r="F1080" s="53"/>
    </row>
    <row r="1081" spans="1:6" x14ac:dyDescent="0.3">
      <c r="A1081" s="48">
        <v>45427</v>
      </c>
      <c r="B1081" s="49">
        <v>136.0162</v>
      </c>
      <c r="C1081" s="50">
        <f t="shared" si="35"/>
        <v>45443</v>
      </c>
      <c r="D1081" s="51">
        <f t="shared" si="36"/>
        <v>138.8331</v>
      </c>
      <c r="E1081" s="52"/>
      <c r="F1081" s="53"/>
    </row>
    <row r="1082" spans="1:6" x14ac:dyDescent="0.3">
      <c r="A1082" s="48">
        <v>45428</v>
      </c>
      <c r="B1082" s="49">
        <v>136.36080000000001</v>
      </c>
      <c r="C1082" s="50">
        <f t="shared" si="35"/>
        <v>45443</v>
      </c>
      <c r="D1082" s="51">
        <f t="shared" si="36"/>
        <v>138.8331</v>
      </c>
      <c r="E1082" s="52"/>
      <c r="F1082" s="53"/>
    </row>
    <row r="1083" spans="1:6" x14ac:dyDescent="0.3">
      <c r="A1083" s="48">
        <v>45429</v>
      </c>
      <c r="B1083" s="49">
        <v>136.97120000000001</v>
      </c>
      <c r="C1083" s="50">
        <f t="shared" si="35"/>
        <v>45443</v>
      </c>
      <c r="D1083" s="51">
        <f t="shared" si="36"/>
        <v>138.8331</v>
      </c>
      <c r="E1083" s="52"/>
      <c r="F1083" s="53"/>
    </row>
    <row r="1084" spans="1:6" x14ac:dyDescent="0.3">
      <c r="A1084" s="48">
        <v>45433</v>
      </c>
      <c r="B1084" s="49">
        <v>138.614</v>
      </c>
      <c r="C1084" s="50">
        <f t="shared" si="35"/>
        <v>45443</v>
      </c>
      <c r="D1084" s="51">
        <f t="shared" si="36"/>
        <v>138.8331</v>
      </c>
      <c r="E1084" s="52"/>
      <c r="F1084" s="53"/>
    </row>
    <row r="1085" spans="1:6" x14ac:dyDescent="0.3">
      <c r="A1085" s="48">
        <v>45434</v>
      </c>
      <c r="B1085" s="49">
        <v>139.08269999999999</v>
      </c>
      <c r="C1085" s="50">
        <f t="shared" si="35"/>
        <v>45443</v>
      </c>
      <c r="D1085" s="51">
        <f t="shared" si="36"/>
        <v>138.8331</v>
      </c>
      <c r="E1085" s="52"/>
      <c r="F1085" s="53"/>
    </row>
    <row r="1086" spans="1:6" x14ac:dyDescent="0.3">
      <c r="A1086" s="48">
        <v>45435</v>
      </c>
      <c r="B1086" s="49">
        <v>139.71549999999999</v>
      </c>
      <c r="C1086" s="50">
        <f t="shared" si="35"/>
        <v>45443</v>
      </c>
      <c r="D1086" s="51">
        <f t="shared" si="36"/>
        <v>138.8331</v>
      </c>
      <c r="E1086" s="52"/>
      <c r="F1086" s="53"/>
    </row>
    <row r="1087" spans="1:6" x14ac:dyDescent="0.3">
      <c r="A1087" s="48">
        <v>45436</v>
      </c>
      <c r="B1087" s="49">
        <v>139.6473</v>
      </c>
      <c r="C1087" s="50">
        <f t="shared" si="35"/>
        <v>45443</v>
      </c>
      <c r="D1087" s="51">
        <f t="shared" si="36"/>
        <v>138.8331</v>
      </c>
      <c r="E1087" s="52"/>
      <c r="F1087" s="53"/>
    </row>
    <row r="1088" spans="1:6" x14ac:dyDescent="0.3">
      <c r="A1088" s="48">
        <v>45439</v>
      </c>
      <c r="B1088" s="49">
        <v>139.2774</v>
      </c>
      <c r="C1088" s="50">
        <f t="shared" si="35"/>
        <v>45443</v>
      </c>
      <c r="D1088" s="51">
        <f t="shared" si="36"/>
        <v>138.8331</v>
      </c>
      <c r="E1088" s="52"/>
      <c r="F1088" s="53"/>
    </row>
    <row r="1089" spans="1:6" x14ac:dyDescent="0.3">
      <c r="A1089" s="48">
        <v>45440</v>
      </c>
      <c r="B1089" s="49">
        <v>138.8631</v>
      </c>
      <c r="C1089" s="50">
        <f t="shared" si="35"/>
        <v>45443</v>
      </c>
      <c r="D1089" s="51">
        <f t="shared" si="36"/>
        <v>138.8331</v>
      </c>
      <c r="E1089" s="52"/>
      <c r="F1089" s="53"/>
    </row>
    <row r="1090" spans="1:6" x14ac:dyDescent="0.3">
      <c r="A1090" s="48">
        <v>45441</v>
      </c>
      <c r="B1090" s="49">
        <v>138.429</v>
      </c>
      <c r="C1090" s="50">
        <f t="shared" si="35"/>
        <v>45443</v>
      </c>
      <c r="D1090" s="51">
        <f t="shared" si="36"/>
        <v>138.8331</v>
      </c>
      <c r="E1090" s="52"/>
      <c r="F1090" s="53"/>
    </row>
    <row r="1091" spans="1:6" x14ac:dyDescent="0.3">
      <c r="A1091" s="48">
        <v>45442</v>
      </c>
      <c r="B1091" s="49">
        <v>138.01009999999999</v>
      </c>
      <c r="C1091" s="50">
        <f t="shared" ref="C1091:C1154" si="37">EOMONTH(A1091,0)</f>
        <v>45443</v>
      </c>
      <c r="D1091" s="51">
        <f t="shared" ref="D1091:D1154" si="38">INDEX($B$3:$B$2001, MATCH($C1091, $A$3:$A$2001, 1))</f>
        <v>138.8331</v>
      </c>
      <c r="E1091" s="52"/>
      <c r="F1091" s="53"/>
    </row>
    <row r="1092" spans="1:6" x14ac:dyDescent="0.3">
      <c r="A1092" s="48">
        <v>45443</v>
      </c>
      <c r="B1092" s="49">
        <v>138.8331</v>
      </c>
      <c r="C1092" s="50">
        <f t="shared" si="37"/>
        <v>45443</v>
      </c>
      <c r="D1092" s="51">
        <f t="shared" si="38"/>
        <v>138.8331</v>
      </c>
      <c r="E1092" s="52"/>
      <c r="F1092" s="53"/>
    </row>
    <row r="1093" spans="1:6" x14ac:dyDescent="0.3">
      <c r="A1093" s="48">
        <v>45446</v>
      </c>
      <c r="B1093" s="49">
        <v>142.46299999999999</v>
      </c>
      <c r="C1093" s="50">
        <f t="shared" si="37"/>
        <v>45473</v>
      </c>
      <c r="D1093" s="51">
        <f t="shared" si="38"/>
        <v>140.9376</v>
      </c>
      <c r="E1093" s="52"/>
      <c r="F1093" s="53"/>
    </row>
    <row r="1094" spans="1:6" x14ac:dyDescent="0.3">
      <c r="A1094" s="48">
        <v>45447</v>
      </c>
      <c r="B1094" s="49">
        <v>134.9358</v>
      </c>
      <c r="C1094" s="50">
        <f t="shared" si="37"/>
        <v>45473</v>
      </c>
      <c r="D1094" s="51">
        <f t="shared" si="38"/>
        <v>140.9376</v>
      </c>
      <c r="E1094" s="52"/>
      <c r="F1094" s="53"/>
    </row>
    <row r="1095" spans="1:6" x14ac:dyDescent="0.3">
      <c r="A1095" s="48">
        <v>45448</v>
      </c>
      <c r="B1095" s="49">
        <v>137.55459999999999</v>
      </c>
      <c r="C1095" s="50">
        <f t="shared" si="37"/>
        <v>45473</v>
      </c>
      <c r="D1095" s="51">
        <f t="shared" si="38"/>
        <v>140.9376</v>
      </c>
      <c r="E1095" s="52"/>
      <c r="F1095" s="53"/>
    </row>
    <row r="1096" spans="1:6" x14ac:dyDescent="0.3">
      <c r="A1096" s="48">
        <v>45449</v>
      </c>
      <c r="B1096" s="49">
        <v>139.02799999999999</v>
      </c>
      <c r="C1096" s="50">
        <f t="shared" si="37"/>
        <v>45473</v>
      </c>
      <c r="D1096" s="51">
        <f t="shared" si="38"/>
        <v>140.9376</v>
      </c>
      <c r="E1096" s="52"/>
      <c r="F1096" s="53"/>
    </row>
    <row r="1097" spans="1:6" x14ac:dyDescent="0.3">
      <c r="A1097" s="48">
        <v>45450</v>
      </c>
      <c r="B1097" s="49">
        <v>139.94829999999999</v>
      </c>
      <c r="C1097" s="50">
        <f t="shared" si="37"/>
        <v>45473</v>
      </c>
      <c r="D1097" s="51">
        <f t="shared" si="38"/>
        <v>140.9376</v>
      </c>
      <c r="E1097" s="52"/>
      <c r="F1097" s="53"/>
    </row>
    <row r="1098" spans="1:6" x14ac:dyDescent="0.3">
      <c r="A1098" s="48">
        <v>45453</v>
      </c>
      <c r="B1098" s="49">
        <v>139.47139999999999</v>
      </c>
      <c r="C1098" s="50">
        <f t="shared" si="37"/>
        <v>45473</v>
      </c>
      <c r="D1098" s="51">
        <f t="shared" si="38"/>
        <v>140.9376</v>
      </c>
      <c r="E1098" s="52"/>
      <c r="F1098" s="53"/>
    </row>
    <row r="1099" spans="1:6" x14ac:dyDescent="0.3">
      <c r="A1099" s="48">
        <v>45454</v>
      </c>
      <c r="B1099" s="49">
        <v>139.4462</v>
      </c>
      <c r="C1099" s="50">
        <f t="shared" si="37"/>
        <v>45473</v>
      </c>
      <c r="D1099" s="51">
        <f t="shared" si="38"/>
        <v>140.9376</v>
      </c>
      <c r="E1099" s="52"/>
      <c r="F1099" s="53"/>
    </row>
    <row r="1100" spans="1:6" x14ac:dyDescent="0.3">
      <c r="A1100" s="48">
        <v>45455</v>
      </c>
      <c r="B1100" s="49">
        <v>140.19630000000001</v>
      </c>
      <c r="C1100" s="50">
        <f t="shared" si="37"/>
        <v>45473</v>
      </c>
      <c r="D1100" s="51">
        <f t="shared" si="38"/>
        <v>140.9376</v>
      </c>
      <c r="E1100" s="52"/>
      <c r="F1100" s="53"/>
    </row>
    <row r="1101" spans="1:6" x14ac:dyDescent="0.3">
      <c r="A1101" s="48">
        <v>45456</v>
      </c>
      <c r="B1101" s="49">
        <v>140.23580000000001</v>
      </c>
      <c r="C1101" s="50">
        <f t="shared" si="37"/>
        <v>45473</v>
      </c>
      <c r="D1101" s="51">
        <f t="shared" si="38"/>
        <v>140.9376</v>
      </c>
      <c r="E1101" s="52"/>
      <c r="F1101" s="53"/>
    </row>
    <row r="1102" spans="1:6" x14ac:dyDescent="0.3">
      <c r="A1102" s="48">
        <v>45457</v>
      </c>
      <c r="B1102" s="49">
        <v>140.6996</v>
      </c>
      <c r="C1102" s="50">
        <f t="shared" si="37"/>
        <v>45473</v>
      </c>
      <c r="D1102" s="51">
        <f t="shared" si="38"/>
        <v>140.9376</v>
      </c>
      <c r="E1102" s="52"/>
      <c r="F1102" s="53"/>
    </row>
    <row r="1103" spans="1:6" x14ac:dyDescent="0.3">
      <c r="A1103" s="48">
        <v>45461</v>
      </c>
      <c r="B1103" s="49">
        <v>140.97819999999999</v>
      </c>
      <c r="C1103" s="50">
        <f t="shared" si="37"/>
        <v>45473</v>
      </c>
      <c r="D1103" s="51">
        <f t="shared" si="38"/>
        <v>140.9376</v>
      </c>
      <c r="E1103" s="52"/>
      <c r="F1103" s="53"/>
    </row>
    <row r="1104" spans="1:6" x14ac:dyDescent="0.3">
      <c r="A1104" s="48">
        <v>45462</v>
      </c>
      <c r="B1104" s="49">
        <v>140.54759999999999</v>
      </c>
      <c r="C1104" s="50">
        <f t="shared" si="37"/>
        <v>45473</v>
      </c>
      <c r="D1104" s="51">
        <f t="shared" si="38"/>
        <v>140.9376</v>
      </c>
      <c r="E1104" s="52"/>
      <c r="F1104" s="53"/>
    </row>
    <row r="1105" spans="1:6" x14ac:dyDescent="0.3">
      <c r="A1105" s="48">
        <v>45463</v>
      </c>
      <c r="B1105" s="49">
        <v>141.17349999999999</v>
      </c>
      <c r="C1105" s="50">
        <f t="shared" si="37"/>
        <v>45473</v>
      </c>
      <c r="D1105" s="51">
        <f t="shared" si="38"/>
        <v>140.9376</v>
      </c>
      <c r="E1105" s="52"/>
      <c r="F1105" s="53"/>
    </row>
    <row r="1106" spans="1:6" x14ac:dyDescent="0.3">
      <c r="A1106" s="48">
        <v>45464</v>
      </c>
      <c r="B1106" s="49">
        <v>140.8476</v>
      </c>
      <c r="C1106" s="50">
        <f t="shared" si="37"/>
        <v>45473</v>
      </c>
      <c r="D1106" s="51">
        <f t="shared" si="38"/>
        <v>140.9376</v>
      </c>
      <c r="E1106" s="52"/>
      <c r="F1106" s="53"/>
    </row>
    <row r="1107" spans="1:6" x14ac:dyDescent="0.3">
      <c r="A1107" s="48">
        <v>45467</v>
      </c>
      <c r="B1107" s="49">
        <v>140.08969999999999</v>
      </c>
      <c r="C1107" s="50">
        <f t="shared" si="37"/>
        <v>45473</v>
      </c>
      <c r="D1107" s="51">
        <f t="shared" si="38"/>
        <v>140.9376</v>
      </c>
      <c r="E1107" s="52"/>
      <c r="F1107" s="53"/>
    </row>
    <row r="1108" spans="1:6" x14ac:dyDescent="0.3">
      <c r="A1108" s="48">
        <v>45468</v>
      </c>
      <c r="B1108" s="49">
        <v>140.61709999999999</v>
      </c>
      <c r="C1108" s="50">
        <f t="shared" si="37"/>
        <v>45473</v>
      </c>
      <c r="D1108" s="51">
        <f t="shared" si="38"/>
        <v>140.9376</v>
      </c>
      <c r="E1108" s="52"/>
      <c r="F1108" s="53"/>
    </row>
    <row r="1109" spans="1:6" x14ac:dyDescent="0.3">
      <c r="A1109" s="48">
        <v>45469</v>
      </c>
      <c r="B1109" s="49">
        <v>140.77010000000001</v>
      </c>
      <c r="C1109" s="50">
        <f t="shared" si="37"/>
        <v>45473</v>
      </c>
      <c r="D1109" s="51">
        <f t="shared" si="38"/>
        <v>140.9376</v>
      </c>
      <c r="E1109" s="52"/>
      <c r="F1109" s="53"/>
    </row>
    <row r="1110" spans="1:6" x14ac:dyDescent="0.3">
      <c r="A1110" s="48">
        <v>45470</v>
      </c>
      <c r="B1110" s="49">
        <v>140.85470000000001</v>
      </c>
      <c r="C1110" s="50">
        <f t="shared" si="37"/>
        <v>45473</v>
      </c>
      <c r="D1110" s="51">
        <f t="shared" si="38"/>
        <v>140.9376</v>
      </c>
      <c r="E1110" s="52"/>
      <c r="F1110" s="53"/>
    </row>
    <row r="1111" spans="1:6" x14ac:dyDescent="0.3">
      <c r="A1111" s="48">
        <v>45471</v>
      </c>
      <c r="B1111" s="49">
        <v>140.9376</v>
      </c>
      <c r="C1111" s="50">
        <f t="shared" si="37"/>
        <v>45473</v>
      </c>
      <c r="D1111" s="51">
        <f t="shared" si="38"/>
        <v>140.9376</v>
      </c>
      <c r="E1111" s="52"/>
      <c r="F1111" s="53"/>
    </row>
    <row r="1112" spans="1:6" x14ac:dyDescent="0.3">
      <c r="A1112" s="48">
        <v>45474</v>
      </c>
      <c r="B1112" s="49">
        <v>141.27869999999999</v>
      </c>
      <c r="C1112" s="50">
        <f t="shared" si="37"/>
        <v>45504</v>
      </c>
      <c r="D1112" s="51">
        <f t="shared" si="38"/>
        <v>142.17070000000001</v>
      </c>
      <c r="E1112" s="52"/>
      <c r="F1112" s="53"/>
    </row>
    <row r="1113" spans="1:6" x14ac:dyDescent="0.3">
      <c r="A1113" s="48">
        <v>45475</v>
      </c>
      <c r="B1113" s="49">
        <v>141.52000000000001</v>
      </c>
      <c r="C1113" s="50">
        <f t="shared" si="37"/>
        <v>45504</v>
      </c>
      <c r="D1113" s="51">
        <f t="shared" si="38"/>
        <v>142.17070000000001</v>
      </c>
      <c r="E1113" s="52"/>
      <c r="F1113" s="53"/>
    </row>
    <row r="1114" spans="1:6" x14ac:dyDescent="0.3">
      <c r="A1114" s="48">
        <v>45476</v>
      </c>
      <c r="B1114" s="49">
        <v>142.12200000000001</v>
      </c>
      <c r="C1114" s="50">
        <f t="shared" si="37"/>
        <v>45504</v>
      </c>
      <c r="D1114" s="51">
        <f t="shared" si="38"/>
        <v>142.17070000000001</v>
      </c>
      <c r="E1114" s="52"/>
      <c r="F1114" s="53"/>
    </row>
    <row r="1115" spans="1:6" x14ac:dyDescent="0.3">
      <c r="A1115" s="48">
        <v>45477</v>
      </c>
      <c r="B1115" s="49">
        <v>142.20070000000001</v>
      </c>
      <c r="C1115" s="50">
        <f t="shared" si="37"/>
        <v>45504</v>
      </c>
      <c r="D1115" s="51">
        <f t="shared" si="38"/>
        <v>142.17070000000001</v>
      </c>
      <c r="E1115" s="52"/>
      <c r="F1115" s="53"/>
    </row>
    <row r="1116" spans="1:6" x14ac:dyDescent="0.3">
      <c r="A1116" s="48">
        <v>45478</v>
      </c>
      <c r="B1116" s="49">
        <v>142.18700000000001</v>
      </c>
      <c r="C1116" s="50">
        <f t="shared" si="37"/>
        <v>45504</v>
      </c>
      <c r="D1116" s="51">
        <f t="shared" si="38"/>
        <v>142.17070000000001</v>
      </c>
      <c r="E1116" s="52"/>
      <c r="F1116" s="53"/>
    </row>
    <row r="1117" spans="1:6" x14ac:dyDescent="0.3">
      <c r="A1117" s="48">
        <v>45481</v>
      </c>
      <c r="B1117" s="49">
        <v>141.9324</v>
      </c>
      <c r="C1117" s="50">
        <f t="shared" si="37"/>
        <v>45504</v>
      </c>
      <c r="D1117" s="51">
        <f t="shared" si="38"/>
        <v>142.17070000000001</v>
      </c>
      <c r="E1117" s="52"/>
      <c r="F1117" s="53"/>
    </row>
    <row r="1118" spans="1:6" x14ac:dyDescent="0.3">
      <c r="A1118" s="48">
        <v>45482</v>
      </c>
      <c r="B1118" s="49">
        <v>142.0556</v>
      </c>
      <c r="C1118" s="50">
        <f t="shared" si="37"/>
        <v>45504</v>
      </c>
      <c r="D1118" s="51">
        <f t="shared" si="38"/>
        <v>142.17070000000001</v>
      </c>
      <c r="E1118" s="52"/>
      <c r="F1118" s="53"/>
    </row>
    <row r="1119" spans="1:6" x14ac:dyDescent="0.3">
      <c r="A1119" s="48">
        <v>45483</v>
      </c>
      <c r="B1119" s="49">
        <v>141.7098</v>
      </c>
      <c r="C1119" s="50">
        <f t="shared" si="37"/>
        <v>45504</v>
      </c>
      <c r="D1119" s="51">
        <f t="shared" si="38"/>
        <v>142.17070000000001</v>
      </c>
      <c r="E1119" s="52"/>
      <c r="F1119" s="53"/>
    </row>
    <row r="1120" spans="1:6" x14ac:dyDescent="0.3">
      <c r="A1120" s="48">
        <v>45484</v>
      </c>
      <c r="B1120" s="49">
        <v>142.02539999999999</v>
      </c>
      <c r="C1120" s="50">
        <f t="shared" si="37"/>
        <v>45504</v>
      </c>
      <c r="D1120" s="51">
        <f t="shared" si="38"/>
        <v>142.17070000000001</v>
      </c>
      <c r="E1120" s="52"/>
      <c r="F1120" s="53"/>
    </row>
    <row r="1121" spans="1:6" x14ac:dyDescent="0.3">
      <c r="A1121" s="48">
        <v>45485</v>
      </c>
      <c r="B1121" s="49">
        <v>142.19759999999999</v>
      </c>
      <c r="C1121" s="50">
        <f t="shared" si="37"/>
        <v>45504</v>
      </c>
      <c r="D1121" s="51">
        <f t="shared" si="38"/>
        <v>142.17070000000001</v>
      </c>
      <c r="E1121" s="52"/>
      <c r="F1121" s="53"/>
    </row>
    <row r="1122" spans="1:6" x14ac:dyDescent="0.3">
      <c r="A1122" s="48">
        <v>45488</v>
      </c>
      <c r="B1122" s="49">
        <v>142.8862</v>
      </c>
      <c r="C1122" s="50">
        <f t="shared" si="37"/>
        <v>45504</v>
      </c>
      <c r="D1122" s="51">
        <f t="shared" si="38"/>
        <v>142.17070000000001</v>
      </c>
      <c r="E1122" s="52"/>
      <c r="F1122" s="53"/>
    </row>
    <row r="1123" spans="1:6" x14ac:dyDescent="0.3">
      <c r="A1123" s="48">
        <v>45489</v>
      </c>
      <c r="B1123" s="49">
        <v>142.63030000000001</v>
      </c>
      <c r="C1123" s="50">
        <f t="shared" si="37"/>
        <v>45504</v>
      </c>
      <c r="D1123" s="51">
        <f t="shared" si="38"/>
        <v>142.17070000000001</v>
      </c>
      <c r="E1123" s="52"/>
      <c r="F1123" s="53"/>
    </row>
    <row r="1124" spans="1:6" x14ac:dyDescent="0.3">
      <c r="A1124" s="48">
        <v>45491</v>
      </c>
      <c r="B1124" s="49">
        <v>142.9058</v>
      </c>
      <c r="C1124" s="50">
        <f t="shared" si="37"/>
        <v>45504</v>
      </c>
      <c r="D1124" s="51">
        <f t="shared" si="38"/>
        <v>142.17070000000001</v>
      </c>
      <c r="E1124" s="52"/>
      <c r="F1124" s="53"/>
    </row>
    <row r="1125" spans="1:6" x14ac:dyDescent="0.3">
      <c r="A1125" s="48">
        <v>45492</v>
      </c>
      <c r="B1125" s="49">
        <v>142.11969999999999</v>
      </c>
      <c r="C1125" s="50">
        <f t="shared" si="37"/>
        <v>45504</v>
      </c>
      <c r="D1125" s="51">
        <f t="shared" si="38"/>
        <v>142.17070000000001</v>
      </c>
      <c r="E1125" s="52"/>
      <c r="F1125" s="53"/>
    </row>
    <row r="1126" spans="1:6" x14ac:dyDescent="0.3">
      <c r="A1126" s="48">
        <v>45495</v>
      </c>
      <c r="B1126" s="49">
        <v>141.82480000000001</v>
      </c>
      <c r="C1126" s="50">
        <f t="shared" si="37"/>
        <v>45504</v>
      </c>
      <c r="D1126" s="51">
        <f t="shared" si="38"/>
        <v>142.17070000000001</v>
      </c>
      <c r="E1126" s="52"/>
      <c r="F1126" s="53"/>
    </row>
    <row r="1127" spans="1:6" x14ac:dyDescent="0.3">
      <c r="A1127" s="48">
        <v>45496</v>
      </c>
      <c r="B1127" s="49">
        <v>141.2961</v>
      </c>
      <c r="C1127" s="50">
        <f t="shared" si="37"/>
        <v>45504</v>
      </c>
      <c r="D1127" s="51">
        <f t="shared" si="38"/>
        <v>142.17070000000001</v>
      </c>
      <c r="E1127" s="52"/>
      <c r="F1127" s="53"/>
    </row>
    <row r="1128" spans="1:6" x14ac:dyDescent="0.3">
      <c r="A1128" s="48">
        <v>45497</v>
      </c>
      <c r="B1128" s="49">
        <v>141.9408</v>
      </c>
      <c r="C1128" s="50">
        <f t="shared" si="37"/>
        <v>45504</v>
      </c>
      <c r="D1128" s="51">
        <f t="shared" si="38"/>
        <v>142.17070000000001</v>
      </c>
      <c r="E1128" s="52"/>
      <c r="F1128" s="53"/>
    </row>
    <row r="1129" spans="1:6" x14ac:dyDescent="0.3">
      <c r="A1129" s="48">
        <v>45498</v>
      </c>
      <c r="B1129" s="49">
        <v>141.22980000000001</v>
      </c>
      <c r="C1129" s="50">
        <f t="shared" si="37"/>
        <v>45504</v>
      </c>
      <c r="D1129" s="51">
        <f t="shared" si="38"/>
        <v>142.17070000000001</v>
      </c>
      <c r="E1129" s="52"/>
      <c r="F1129" s="53"/>
    </row>
    <row r="1130" spans="1:6" x14ac:dyDescent="0.3">
      <c r="A1130" s="48">
        <v>45499</v>
      </c>
      <c r="B1130" s="49">
        <v>142.46600000000001</v>
      </c>
      <c r="C1130" s="50">
        <f t="shared" si="37"/>
        <v>45504</v>
      </c>
      <c r="D1130" s="51">
        <f t="shared" si="38"/>
        <v>142.17070000000001</v>
      </c>
      <c r="E1130" s="52"/>
      <c r="F1130" s="53"/>
    </row>
    <row r="1131" spans="1:6" x14ac:dyDescent="0.3">
      <c r="A1131" s="48">
        <v>45502</v>
      </c>
      <c r="B1131" s="49">
        <v>142.142</v>
      </c>
      <c r="C1131" s="50">
        <f t="shared" si="37"/>
        <v>45504</v>
      </c>
      <c r="D1131" s="51">
        <f t="shared" si="38"/>
        <v>142.17070000000001</v>
      </c>
      <c r="E1131" s="52"/>
      <c r="F1131" s="53"/>
    </row>
    <row r="1132" spans="1:6" x14ac:dyDescent="0.3">
      <c r="A1132" s="48">
        <v>45503</v>
      </c>
      <c r="B1132" s="49">
        <v>141.88149999999999</v>
      </c>
      <c r="C1132" s="50">
        <f t="shared" si="37"/>
        <v>45504</v>
      </c>
      <c r="D1132" s="51">
        <f t="shared" si="38"/>
        <v>142.17070000000001</v>
      </c>
      <c r="E1132" s="52"/>
      <c r="F1132" s="53"/>
    </row>
    <row r="1133" spans="1:6" x14ac:dyDescent="0.3">
      <c r="A1133" s="48">
        <v>45504</v>
      </c>
      <c r="B1133" s="49">
        <v>142.17070000000001</v>
      </c>
      <c r="C1133" s="50">
        <f t="shared" si="37"/>
        <v>45504</v>
      </c>
      <c r="D1133" s="51">
        <f t="shared" si="38"/>
        <v>142.17070000000001</v>
      </c>
      <c r="E1133" s="52"/>
      <c r="F1133" s="53"/>
    </row>
    <row r="1134" spans="1:6" x14ac:dyDescent="0.3">
      <c r="A1134" s="48">
        <v>45505</v>
      </c>
      <c r="B1134" s="49">
        <v>142.54329999999999</v>
      </c>
      <c r="C1134" s="50">
        <f t="shared" si="37"/>
        <v>45535</v>
      </c>
      <c r="D1134" s="51">
        <f t="shared" si="38"/>
        <v>141.3777</v>
      </c>
      <c r="E1134" s="52"/>
      <c r="F1134" s="53"/>
    </row>
    <row r="1135" spans="1:6" x14ac:dyDescent="0.3">
      <c r="A1135" s="48">
        <v>45506</v>
      </c>
      <c r="B1135" s="49">
        <v>141.9589</v>
      </c>
      <c r="C1135" s="50">
        <f t="shared" si="37"/>
        <v>45535</v>
      </c>
      <c r="D1135" s="51">
        <f t="shared" si="38"/>
        <v>141.3777</v>
      </c>
      <c r="E1135" s="52"/>
      <c r="F1135" s="53"/>
    </row>
    <row r="1136" spans="1:6" x14ac:dyDescent="0.3">
      <c r="A1136" s="48">
        <v>45509</v>
      </c>
      <c r="B1136" s="49">
        <v>139.24600000000001</v>
      </c>
      <c r="C1136" s="50">
        <f t="shared" si="37"/>
        <v>45535</v>
      </c>
      <c r="D1136" s="51">
        <f t="shared" si="38"/>
        <v>141.3777</v>
      </c>
      <c r="E1136" s="52"/>
      <c r="F1136" s="53"/>
    </row>
    <row r="1137" spans="1:6" x14ac:dyDescent="0.3">
      <c r="A1137" s="48">
        <v>45510</v>
      </c>
      <c r="B1137" s="49">
        <v>138.75069999999999</v>
      </c>
      <c r="C1137" s="50">
        <f t="shared" si="37"/>
        <v>45535</v>
      </c>
      <c r="D1137" s="51">
        <f t="shared" si="38"/>
        <v>141.3777</v>
      </c>
      <c r="E1137" s="52"/>
      <c r="F1137" s="53"/>
    </row>
    <row r="1138" spans="1:6" x14ac:dyDescent="0.3">
      <c r="A1138" s="48">
        <v>45511</v>
      </c>
      <c r="B1138" s="49">
        <v>140.32079999999999</v>
      </c>
      <c r="C1138" s="50">
        <f t="shared" si="37"/>
        <v>45535</v>
      </c>
      <c r="D1138" s="51">
        <f t="shared" si="38"/>
        <v>141.3777</v>
      </c>
      <c r="E1138" s="52"/>
      <c r="F1138" s="53"/>
    </row>
    <row r="1139" spans="1:6" x14ac:dyDescent="0.3">
      <c r="A1139" s="48">
        <v>45512</v>
      </c>
      <c r="B1139" s="49">
        <v>139.73750000000001</v>
      </c>
      <c r="C1139" s="50">
        <f t="shared" si="37"/>
        <v>45535</v>
      </c>
      <c r="D1139" s="51">
        <f t="shared" si="38"/>
        <v>141.3777</v>
      </c>
      <c r="E1139" s="52"/>
      <c r="F1139" s="53"/>
    </row>
    <row r="1140" spans="1:6" x14ac:dyDescent="0.3">
      <c r="A1140" s="48">
        <v>45513</v>
      </c>
      <c r="B1140" s="49">
        <v>140.48769999999999</v>
      </c>
      <c r="C1140" s="50">
        <f t="shared" si="37"/>
        <v>45535</v>
      </c>
      <c r="D1140" s="51">
        <f t="shared" si="38"/>
        <v>141.3777</v>
      </c>
      <c r="E1140" s="52"/>
      <c r="F1140" s="53"/>
    </row>
    <row r="1141" spans="1:6" x14ac:dyDescent="0.3">
      <c r="A1141" s="48">
        <v>45516</v>
      </c>
      <c r="B1141" s="49">
        <v>140.0044</v>
      </c>
      <c r="C1141" s="50">
        <f t="shared" si="37"/>
        <v>45535</v>
      </c>
      <c r="D1141" s="51">
        <f t="shared" si="38"/>
        <v>141.3777</v>
      </c>
      <c r="E1141" s="52"/>
      <c r="F1141" s="53"/>
    </row>
    <row r="1142" spans="1:6" x14ac:dyDescent="0.3">
      <c r="A1142" s="48">
        <v>45517</v>
      </c>
      <c r="B1142" s="49">
        <v>138.8152</v>
      </c>
      <c r="C1142" s="50">
        <f t="shared" si="37"/>
        <v>45535</v>
      </c>
      <c r="D1142" s="51">
        <f t="shared" si="38"/>
        <v>141.3777</v>
      </c>
      <c r="E1142" s="52"/>
      <c r="F1142" s="53"/>
    </row>
    <row r="1143" spans="1:6" x14ac:dyDescent="0.3">
      <c r="A1143" s="48">
        <v>45518</v>
      </c>
      <c r="B1143" s="49">
        <v>138.63409999999999</v>
      </c>
      <c r="C1143" s="50">
        <f t="shared" si="37"/>
        <v>45535</v>
      </c>
      <c r="D1143" s="51">
        <f t="shared" si="38"/>
        <v>141.3777</v>
      </c>
      <c r="E1143" s="52"/>
      <c r="F1143" s="53"/>
    </row>
    <row r="1144" spans="1:6" x14ac:dyDescent="0.3">
      <c r="A1144" s="48">
        <v>45520</v>
      </c>
      <c r="B1144" s="49">
        <v>140.0977</v>
      </c>
      <c r="C1144" s="50">
        <f t="shared" si="37"/>
        <v>45535</v>
      </c>
      <c r="D1144" s="51">
        <f t="shared" si="38"/>
        <v>141.3777</v>
      </c>
      <c r="E1144" s="52"/>
      <c r="F1144" s="53"/>
    </row>
    <row r="1145" spans="1:6" x14ac:dyDescent="0.3">
      <c r="A1145" s="48">
        <v>45523</v>
      </c>
      <c r="B1145" s="49">
        <v>140.8621</v>
      </c>
      <c r="C1145" s="50">
        <f t="shared" si="37"/>
        <v>45535</v>
      </c>
      <c r="D1145" s="51">
        <f t="shared" si="38"/>
        <v>141.3777</v>
      </c>
      <c r="E1145" s="52"/>
      <c r="F1145" s="53"/>
    </row>
    <row r="1146" spans="1:6" x14ac:dyDescent="0.3">
      <c r="A1146" s="48">
        <v>45524</v>
      </c>
      <c r="B1146" s="49">
        <v>141.2841</v>
      </c>
      <c r="C1146" s="50">
        <f t="shared" si="37"/>
        <v>45535</v>
      </c>
      <c r="D1146" s="51">
        <f t="shared" si="38"/>
        <v>141.3777</v>
      </c>
      <c r="E1146" s="52"/>
      <c r="F1146" s="53"/>
    </row>
    <row r="1147" spans="1:6" x14ac:dyDescent="0.3">
      <c r="A1147" s="48">
        <v>45525</v>
      </c>
      <c r="B1147" s="49">
        <v>141.79429999999999</v>
      </c>
      <c r="C1147" s="50">
        <f t="shared" si="37"/>
        <v>45535</v>
      </c>
      <c r="D1147" s="51">
        <f t="shared" si="38"/>
        <v>141.3777</v>
      </c>
      <c r="E1147" s="52"/>
      <c r="F1147" s="53"/>
    </row>
    <row r="1148" spans="1:6" x14ac:dyDescent="0.3">
      <c r="A1148" s="48">
        <v>45526</v>
      </c>
      <c r="B1148" s="49">
        <v>141.6292</v>
      </c>
      <c r="C1148" s="50">
        <f t="shared" si="37"/>
        <v>45535</v>
      </c>
      <c r="D1148" s="51">
        <f t="shared" si="38"/>
        <v>141.3777</v>
      </c>
      <c r="E1148" s="52"/>
      <c r="F1148" s="53"/>
    </row>
    <row r="1149" spans="1:6" x14ac:dyDescent="0.3">
      <c r="A1149" s="48">
        <v>45527</v>
      </c>
      <c r="B1149" s="49">
        <v>141.18129999999999</v>
      </c>
      <c r="C1149" s="50">
        <f t="shared" si="37"/>
        <v>45535</v>
      </c>
      <c r="D1149" s="51">
        <f t="shared" si="38"/>
        <v>141.3777</v>
      </c>
      <c r="E1149" s="52"/>
      <c r="F1149" s="53"/>
    </row>
    <row r="1150" spans="1:6" x14ac:dyDescent="0.3">
      <c r="A1150" s="48">
        <v>45530</v>
      </c>
      <c r="B1150" s="49">
        <v>141.3691</v>
      </c>
      <c r="C1150" s="50">
        <f t="shared" si="37"/>
        <v>45535</v>
      </c>
      <c r="D1150" s="51">
        <f t="shared" si="38"/>
        <v>141.3777</v>
      </c>
      <c r="E1150" s="52"/>
      <c r="F1150" s="53"/>
    </row>
    <row r="1151" spans="1:6" x14ac:dyDescent="0.3">
      <c r="A1151" s="48">
        <v>45531</v>
      </c>
      <c r="B1151" s="49">
        <v>141.45830000000001</v>
      </c>
      <c r="C1151" s="50">
        <f t="shared" si="37"/>
        <v>45535</v>
      </c>
      <c r="D1151" s="51">
        <f t="shared" si="38"/>
        <v>141.3777</v>
      </c>
      <c r="E1151" s="52"/>
      <c r="F1151" s="53"/>
    </row>
    <row r="1152" spans="1:6" x14ac:dyDescent="0.3">
      <c r="A1152" s="48">
        <v>45532</v>
      </c>
      <c r="B1152" s="49">
        <v>141.2047</v>
      </c>
      <c r="C1152" s="50">
        <f t="shared" si="37"/>
        <v>45535</v>
      </c>
      <c r="D1152" s="51">
        <f t="shared" si="38"/>
        <v>141.3777</v>
      </c>
      <c r="E1152" s="52"/>
      <c r="F1152" s="53"/>
    </row>
    <row r="1153" spans="1:6" x14ac:dyDescent="0.3">
      <c r="A1153" s="48">
        <v>45533</v>
      </c>
      <c r="B1153" s="49">
        <v>141.64769999999999</v>
      </c>
      <c r="C1153" s="50">
        <f t="shared" si="37"/>
        <v>45535</v>
      </c>
      <c r="D1153" s="51">
        <f t="shared" si="38"/>
        <v>141.3777</v>
      </c>
      <c r="E1153" s="52"/>
      <c r="F1153" s="53"/>
    </row>
    <row r="1154" spans="1:6" x14ac:dyDescent="0.3">
      <c r="A1154" s="48">
        <v>45534</v>
      </c>
      <c r="B1154" s="49">
        <v>141.3777</v>
      </c>
      <c r="C1154" s="50">
        <f t="shared" si="37"/>
        <v>45535</v>
      </c>
      <c r="D1154" s="51">
        <f t="shared" si="38"/>
        <v>141.3777</v>
      </c>
      <c r="E1154" s="52"/>
      <c r="F1154" s="53"/>
    </row>
    <row r="1155" spans="1:6" x14ac:dyDescent="0.3">
      <c r="A1155" s="48">
        <v>45537</v>
      </c>
      <c r="B1155" s="49">
        <v>141.85929999999999</v>
      </c>
      <c r="C1155" s="50">
        <f t="shared" ref="C1155:C1218" si="39">EOMONTH(A1155,0)</f>
        <v>45565</v>
      </c>
      <c r="D1155" s="51">
        <f t="shared" ref="D1155:D1218" si="40">INDEX($B$3:$B$2001, MATCH($C1155, $A$3:$A$2001, 1))</f>
        <v>149.45050000000001</v>
      </c>
      <c r="E1155" s="52"/>
      <c r="F1155" s="53"/>
    </row>
    <row r="1156" spans="1:6" x14ac:dyDescent="0.3">
      <c r="A1156" s="48">
        <v>45538</v>
      </c>
      <c r="B1156" s="49">
        <v>146.43459999999999</v>
      </c>
      <c r="C1156" s="50">
        <f t="shared" si="39"/>
        <v>45565</v>
      </c>
      <c r="D1156" s="51">
        <f t="shared" si="40"/>
        <v>149.45050000000001</v>
      </c>
      <c r="E1156" s="52"/>
      <c r="F1156" s="53"/>
    </row>
    <row r="1157" spans="1:6" x14ac:dyDescent="0.3">
      <c r="A1157" s="48">
        <v>45539</v>
      </c>
      <c r="B1157" s="49">
        <v>145.98660000000001</v>
      </c>
      <c r="C1157" s="50">
        <f t="shared" si="39"/>
        <v>45565</v>
      </c>
      <c r="D1157" s="51">
        <f t="shared" si="40"/>
        <v>149.45050000000001</v>
      </c>
      <c r="E1157" s="52"/>
      <c r="F1157" s="53"/>
    </row>
    <row r="1158" spans="1:6" x14ac:dyDescent="0.3">
      <c r="A1158" s="48">
        <v>45540</v>
      </c>
      <c r="B1158" s="49">
        <v>147.97309999999999</v>
      </c>
      <c r="C1158" s="50">
        <f t="shared" si="39"/>
        <v>45565</v>
      </c>
      <c r="D1158" s="51">
        <f t="shared" si="40"/>
        <v>149.45050000000001</v>
      </c>
      <c r="E1158" s="52"/>
      <c r="F1158" s="53"/>
    </row>
    <row r="1159" spans="1:6" x14ac:dyDescent="0.3">
      <c r="A1159" s="48">
        <v>45541</v>
      </c>
      <c r="B1159" s="49">
        <v>148.0335</v>
      </c>
      <c r="C1159" s="50">
        <f t="shared" si="39"/>
        <v>45565</v>
      </c>
      <c r="D1159" s="51">
        <f t="shared" si="40"/>
        <v>149.45050000000001</v>
      </c>
      <c r="E1159" s="52"/>
      <c r="F1159" s="53"/>
    </row>
    <row r="1160" spans="1:6" x14ac:dyDescent="0.3">
      <c r="A1160" s="48">
        <v>45544</v>
      </c>
      <c r="B1160" s="49">
        <v>149.47569999999999</v>
      </c>
      <c r="C1160" s="50">
        <f t="shared" si="39"/>
        <v>45565</v>
      </c>
      <c r="D1160" s="51">
        <f t="shared" si="40"/>
        <v>149.45050000000001</v>
      </c>
      <c r="E1160" s="52"/>
      <c r="F1160" s="53"/>
    </row>
    <row r="1161" spans="1:6" x14ac:dyDescent="0.3">
      <c r="A1161" s="48">
        <v>45545</v>
      </c>
      <c r="B1161" s="49">
        <v>149.41900000000001</v>
      </c>
      <c r="C1161" s="50">
        <f t="shared" si="39"/>
        <v>45565</v>
      </c>
      <c r="D1161" s="51">
        <f t="shared" si="40"/>
        <v>149.45050000000001</v>
      </c>
      <c r="E1161" s="52"/>
      <c r="F1161" s="53"/>
    </row>
    <row r="1162" spans="1:6" x14ac:dyDescent="0.3">
      <c r="A1162" s="48">
        <v>45546</v>
      </c>
      <c r="B1162" s="49">
        <v>148.22200000000001</v>
      </c>
      <c r="C1162" s="50">
        <f t="shared" si="39"/>
        <v>45565</v>
      </c>
      <c r="D1162" s="51">
        <f t="shared" si="40"/>
        <v>149.45050000000001</v>
      </c>
      <c r="E1162" s="52"/>
      <c r="F1162" s="53"/>
    </row>
    <row r="1163" spans="1:6" x14ac:dyDescent="0.3">
      <c r="A1163" s="48">
        <v>45547</v>
      </c>
      <c r="B1163" s="49">
        <v>149.392</v>
      </c>
      <c r="C1163" s="50">
        <f t="shared" si="39"/>
        <v>45565</v>
      </c>
      <c r="D1163" s="51">
        <f t="shared" si="40"/>
        <v>149.45050000000001</v>
      </c>
      <c r="E1163" s="52"/>
      <c r="F1163" s="53"/>
    </row>
    <row r="1164" spans="1:6" x14ac:dyDescent="0.3">
      <c r="A1164" s="48">
        <v>45548</v>
      </c>
      <c r="B1164" s="49">
        <v>149.46010000000001</v>
      </c>
      <c r="C1164" s="50">
        <f t="shared" si="39"/>
        <v>45565</v>
      </c>
      <c r="D1164" s="51">
        <f t="shared" si="40"/>
        <v>149.45050000000001</v>
      </c>
      <c r="E1164" s="52"/>
      <c r="F1164" s="53"/>
    </row>
    <row r="1165" spans="1:6" x14ac:dyDescent="0.3">
      <c r="A1165" s="48">
        <v>45551</v>
      </c>
      <c r="B1165" s="49">
        <v>149.59909999999999</v>
      </c>
      <c r="C1165" s="50">
        <f t="shared" si="39"/>
        <v>45565</v>
      </c>
      <c r="D1165" s="51">
        <f t="shared" si="40"/>
        <v>149.45050000000001</v>
      </c>
      <c r="E1165" s="52"/>
      <c r="F1165" s="53"/>
    </row>
    <row r="1166" spans="1:6" x14ac:dyDescent="0.3">
      <c r="A1166" s="48">
        <v>45552</v>
      </c>
      <c r="B1166" s="49">
        <v>149.53809999999999</v>
      </c>
      <c r="C1166" s="50">
        <f t="shared" si="39"/>
        <v>45565</v>
      </c>
      <c r="D1166" s="51">
        <f t="shared" si="40"/>
        <v>149.45050000000001</v>
      </c>
      <c r="E1166" s="52"/>
      <c r="F1166" s="53"/>
    </row>
    <row r="1167" spans="1:6" x14ac:dyDescent="0.3">
      <c r="A1167" s="48">
        <v>45553</v>
      </c>
      <c r="B1167" s="49">
        <v>149.5299</v>
      </c>
      <c r="C1167" s="50">
        <f t="shared" si="39"/>
        <v>45565</v>
      </c>
      <c r="D1167" s="51">
        <f t="shared" si="40"/>
        <v>149.45050000000001</v>
      </c>
      <c r="E1167" s="52"/>
      <c r="F1167" s="53"/>
    </row>
    <row r="1168" spans="1:6" x14ac:dyDescent="0.3">
      <c r="A1168" s="48">
        <v>45554</v>
      </c>
      <c r="B1168" s="49">
        <v>148.9614</v>
      </c>
      <c r="C1168" s="50">
        <f t="shared" si="39"/>
        <v>45565</v>
      </c>
      <c r="D1168" s="51">
        <f t="shared" si="40"/>
        <v>149.45050000000001</v>
      </c>
      <c r="E1168" s="52"/>
      <c r="F1168" s="53"/>
    </row>
    <row r="1169" spans="1:6" x14ac:dyDescent="0.3">
      <c r="A1169" s="48">
        <v>45555</v>
      </c>
      <c r="B1169" s="49">
        <v>149.87020000000001</v>
      </c>
      <c r="C1169" s="50">
        <f t="shared" si="39"/>
        <v>45565</v>
      </c>
      <c r="D1169" s="51">
        <f t="shared" si="40"/>
        <v>149.45050000000001</v>
      </c>
      <c r="E1169" s="52"/>
      <c r="F1169" s="53"/>
    </row>
    <row r="1170" spans="1:6" x14ac:dyDescent="0.3">
      <c r="A1170" s="48">
        <v>45558</v>
      </c>
      <c r="B1170" s="49">
        <v>149.89510000000001</v>
      </c>
      <c r="C1170" s="50">
        <f t="shared" si="39"/>
        <v>45565</v>
      </c>
      <c r="D1170" s="51">
        <f t="shared" si="40"/>
        <v>149.45050000000001</v>
      </c>
      <c r="E1170" s="52"/>
      <c r="F1170" s="53"/>
    </row>
    <row r="1171" spans="1:6" x14ac:dyDescent="0.3">
      <c r="A1171" s="48">
        <v>45559</v>
      </c>
      <c r="B1171" s="49">
        <v>149.684</v>
      </c>
      <c r="C1171" s="50">
        <f t="shared" si="39"/>
        <v>45565</v>
      </c>
      <c r="D1171" s="51">
        <f t="shared" si="40"/>
        <v>149.45050000000001</v>
      </c>
      <c r="E1171" s="52"/>
      <c r="F1171" s="53"/>
    </row>
    <row r="1172" spans="1:6" x14ac:dyDescent="0.3">
      <c r="A1172" s="48">
        <v>45560</v>
      </c>
      <c r="B1172" s="49">
        <v>149.42250000000001</v>
      </c>
      <c r="C1172" s="50">
        <f t="shared" si="39"/>
        <v>45565</v>
      </c>
      <c r="D1172" s="51">
        <f t="shared" si="40"/>
        <v>149.45050000000001</v>
      </c>
      <c r="E1172" s="52"/>
      <c r="F1172" s="53"/>
    </row>
    <row r="1173" spans="1:6" x14ac:dyDescent="0.3">
      <c r="A1173" s="48">
        <v>45561</v>
      </c>
      <c r="B1173" s="49">
        <v>150.00229999999999</v>
      </c>
      <c r="C1173" s="50">
        <f t="shared" si="39"/>
        <v>45565</v>
      </c>
      <c r="D1173" s="51">
        <f t="shared" si="40"/>
        <v>149.45050000000001</v>
      </c>
      <c r="E1173" s="52"/>
      <c r="F1173" s="53"/>
    </row>
    <row r="1174" spans="1:6" x14ac:dyDescent="0.3">
      <c r="A1174" s="48">
        <v>45562</v>
      </c>
      <c r="B1174" s="49">
        <v>150.08799999999999</v>
      </c>
      <c r="C1174" s="50">
        <f t="shared" si="39"/>
        <v>45565</v>
      </c>
      <c r="D1174" s="51">
        <f t="shared" si="40"/>
        <v>149.45050000000001</v>
      </c>
      <c r="E1174" s="52"/>
      <c r="F1174" s="53"/>
    </row>
    <row r="1175" spans="1:6" x14ac:dyDescent="0.3">
      <c r="A1175" s="48">
        <v>45565</v>
      </c>
      <c r="B1175" s="49">
        <v>149.45050000000001</v>
      </c>
      <c r="C1175" s="50">
        <f t="shared" si="39"/>
        <v>45565</v>
      </c>
      <c r="D1175" s="51">
        <f t="shared" si="40"/>
        <v>149.45050000000001</v>
      </c>
      <c r="E1175" s="52"/>
      <c r="F1175" s="53"/>
    </row>
    <row r="1176" spans="1:6" x14ac:dyDescent="0.3">
      <c r="A1176" s="48">
        <v>45566</v>
      </c>
      <c r="B1176" s="49">
        <v>149.32480000000001</v>
      </c>
      <c r="C1176" s="50">
        <f t="shared" si="39"/>
        <v>45596</v>
      </c>
      <c r="D1176" s="51">
        <f t="shared" si="40"/>
        <v>145.16499999999999</v>
      </c>
      <c r="E1176" s="52"/>
      <c r="F1176" s="53"/>
    </row>
    <row r="1177" spans="1:6" x14ac:dyDescent="0.3">
      <c r="A1177" s="48">
        <v>45568</v>
      </c>
      <c r="B1177" s="49">
        <v>147.50239999999999</v>
      </c>
      <c r="C1177" s="50">
        <f t="shared" si="39"/>
        <v>45596</v>
      </c>
      <c r="D1177" s="51">
        <f t="shared" si="40"/>
        <v>145.16499999999999</v>
      </c>
      <c r="E1177" s="52"/>
      <c r="F1177" s="53"/>
    </row>
    <row r="1178" spans="1:6" x14ac:dyDescent="0.3">
      <c r="A1178" s="48">
        <v>45569</v>
      </c>
      <c r="B1178" s="49">
        <v>146.66470000000001</v>
      </c>
      <c r="C1178" s="50">
        <f t="shared" si="39"/>
        <v>45596</v>
      </c>
      <c r="D1178" s="51">
        <f t="shared" si="40"/>
        <v>145.16499999999999</v>
      </c>
      <c r="E1178" s="52"/>
      <c r="F1178" s="53"/>
    </row>
    <row r="1179" spans="1:6" x14ac:dyDescent="0.3">
      <c r="A1179" s="48">
        <v>45572</v>
      </c>
      <c r="B1179" s="49">
        <v>145.4443</v>
      </c>
      <c r="C1179" s="50">
        <f t="shared" si="39"/>
        <v>45596</v>
      </c>
      <c r="D1179" s="51">
        <f t="shared" si="40"/>
        <v>145.16499999999999</v>
      </c>
      <c r="E1179" s="52"/>
      <c r="F1179" s="53"/>
    </row>
    <row r="1180" spans="1:6" x14ac:dyDescent="0.3">
      <c r="A1180" s="48">
        <v>45573</v>
      </c>
      <c r="B1180" s="49">
        <v>146.3947</v>
      </c>
      <c r="C1180" s="50">
        <f t="shared" si="39"/>
        <v>45596</v>
      </c>
      <c r="D1180" s="51">
        <f t="shared" si="40"/>
        <v>145.16499999999999</v>
      </c>
      <c r="E1180" s="52"/>
      <c r="F1180" s="53"/>
    </row>
    <row r="1181" spans="1:6" x14ac:dyDescent="0.3">
      <c r="A1181" s="48">
        <v>45574</v>
      </c>
      <c r="B1181" s="49">
        <v>146.297</v>
      </c>
      <c r="C1181" s="50">
        <f t="shared" si="39"/>
        <v>45596</v>
      </c>
      <c r="D1181" s="51">
        <f t="shared" si="40"/>
        <v>145.16499999999999</v>
      </c>
      <c r="E1181" s="52"/>
      <c r="F1181" s="53"/>
    </row>
    <row r="1182" spans="1:6" x14ac:dyDescent="0.3">
      <c r="A1182" s="48">
        <v>45575</v>
      </c>
      <c r="B1182" s="49">
        <v>146.4161</v>
      </c>
      <c r="C1182" s="50">
        <f t="shared" si="39"/>
        <v>45596</v>
      </c>
      <c r="D1182" s="51">
        <f t="shared" si="40"/>
        <v>145.16499999999999</v>
      </c>
      <c r="E1182" s="52"/>
      <c r="F1182" s="53"/>
    </row>
    <row r="1183" spans="1:6" x14ac:dyDescent="0.3">
      <c r="A1183" s="48">
        <v>45576</v>
      </c>
      <c r="B1183" s="49">
        <v>146.35159999999999</v>
      </c>
      <c r="C1183" s="50">
        <f t="shared" si="39"/>
        <v>45596</v>
      </c>
      <c r="D1183" s="51">
        <f t="shared" si="40"/>
        <v>145.16499999999999</v>
      </c>
      <c r="E1183" s="52"/>
      <c r="F1183" s="53"/>
    </row>
    <row r="1184" spans="1:6" x14ac:dyDescent="0.3">
      <c r="A1184" s="48">
        <v>45579</v>
      </c>
      <c r="B1184" s="49">
        <v>147.22389999999999</v>
      </c>
      <c r="C1184" s="50">
        <f t="shared" si="39"/>
        <v>45596</v>
      </c>
      <c r="D1184" s="51">
        <f t="shared" si="40"/>
        <v>145.16499999999999</v>
      </c>
      <c r="E1184" s="52"/>
      <c r="F1184" s="53"/>
    </row>
    <row r="1185" spans="1:6" x14ac:dyDescent="0.3">
      <c r="A1185" s="48">
        <v>45580</v>
      </c>
      <c r="B1185" s="49">
        <v>146.79419999999999</v>
      </c>
      <c r="C1185" s="50">
        <f t="shared" si="39"/>
        <v>45596</v>
      </c>
      <c r="D1185" s="51">
        <f t="shared" si="40"/>
        <v>145.16499999999999</v>
      </c>
      <c r="E1185" s="52"/>
      <c r="F1185" s="53"/>
    </row>
    <row r="1186" spans="1:6" x14ac:dyDescent="0.3">
      <c r="A1186" s="48">
        <v>45581</v>
      </c>
      <c r="B1186" s="49">
        <v>146.60839999999999</v>
      </c>
      <c r="C1186" s="50">
        <f t="shared" si="39"/>
        <v>45596</v>
      </c>
      <c r="D1186" s="51">
        <f t="shared" si="40"/>
        <v>145.16499999999999</v>
      </c>
      <c r="E1186" s="52"/>
      <c r="F1186" s="53"/>
    </row>
    <row r="1187" spans="1:6" x14ac:dyDescent="0.3">
      <c r="A1187" s="48">
        <v>45582</v>
      </c>
      <c r="B1187" s="49">
        <v>145.76339999999999</v>
      </c>
      <c r="C1187" s="50">
        <f t="shared" si="39"/>
        <v>45596</v>
      </c>
      <c r="D1187" s="51">
        <f t="shared" si="40"/>
        <v>145.16499999999999</v>
      </c>
      <c r="E1187" s="52"/>
      <c r="F1187" s="53"/>
    </row>
    <row r="1188" spans="1:6" x14ac:dyDescent="0.3">
      <c r="A1188" s="48">
        <v>45583</v>
      </c>
      <c r="B1188" s="49">
        <v>145.672</v>
      </c>
      <c r="C1188" s="50">
        <f t="shared" si="39"/>
        <v>45596</v>
      </c>
      <c r="D1188" s="51">
        <f t="shared" si="40"/>
        <v>145.16499999999999</v>
      </c>
      <c r="E1188" s="52"/>
      <c r="F1188" s="53"/>
    </row>
    <row r="1189" spans="1:6" x14ac:dyDescent="0.3">
      <c r="A1189" s="48">
        <v>45586</v>
      </c>
      <c r="B1189" s="49">
        <v>145.4453</v>
      </c>
      <c r="C1189" s="50">
        <f t="shared" si="39"/>
        <v>45596</v>
      </c>
      <c r="D1189" s="51">
        <f t="shared" si="40"/>
        <v>145.16499999999999</v>
      </c>
      <c r="E1189" s="52"/>
      <c r="F1189" s="53"/>
    </row>
    <row r="1190" spans="1:6" x14ac:dyDescent="0.3">
      <c r="A1190" s="48">
        <v>45587</v>
      </c>
      <c r="B1190" s="49">
        <v>143.821</v>
      </c>
      <c r="C1190" s="50">
        <f t="shared" si="39"/>
        <v>45596</v>
      </c>
      <c r="D1190" s="51">
        <f t="shared" si="40"/>
        <v>145.16499999999999</v>
      </c>
      <c r="E1190" s="52"/>
      <c r="F1190" s="53"/>
    </row>
    <row r="1191" spans="1:6" x14ac:dyDescent="0.3">
      <c r="A1191" s="48">
        <v>45588</v>
      </c>
      <c r="B1191" s="49">
        <v>143.8503</v>
      </c>
      <c r="C1191" s="50">
        <f t="shared" si="39"/>
        <v>45596</v>
      </c>
      <c r="D1191" s="51">
        <f t="shared" si="40"/>
        <v>145.16499999999999</v>
      </c>
      <c r="E1191" s="52"/>
      <c r="F1191" s="53"/>
    </row>
    <row r="1192" spans="1:6" x14ac:dyDescent="0.3">
      <c r="A1192" s="48">
        <v>45589</v>
      </c>
      <c r="B1192" s="49">
        <v>143.30109999999999</v>
      </c>
      <c r="C1192" s="50">
        <f t="shared" si="39"/>
        <v>45596</v>
      </c>
      <c r="D1192" s="51">
        <f t="shared" si="40"/>
        <v>145.16499999999999</v>
      </c>
      <c r="E1192" s="52"/>
      <c r="F1192" s="53"/>
    </row>
    <row r="1193" spans="1:6" x14ac:dyDescent="0.3">
      <c r="A1193" s="48">
        <v>45590</v>
      </c>
      <c r="B1193" s="49">
        <v>142.1267</v>
      </c>
      <c r="C1193" s="50">
        <f t="shared" si="39"/>
        <v>45596</v>
      </c>
      <c r="D1193" s="51">
        <f t="shared" si="40"/>
        <v>145.16499999999999</v>
      </c>
      <c r="E1193" s="52"/>
      <c r="F1193" s="53"/>
    </row>
    <row r="1194" spans="1:6" x14ac:dyDescent="0.3">
      <c r="A1194" s="48">
        <v>45593</v>
      </c>
      <c r="B1194" s="49">
        <v>142.99799999999999</v>
      </c>
      <c r="C1194" s="50">
        <f t="shared" si="39"/>
        <v>45596</v>
      </c>
      <c r="D1194" s="51">
        <f t="shared" si="40"/>
        <v>145.16499999999999</v>
      </c>
      <c r="E1194" s="52"/>
      <c r="F1194" s="53"/>
    </row>
    <row r="1195" spans="1:6" x14ac:dyDescent="0.3">
      <c r="A1195" s="48">
        <v>45594</v>
      </c>
      <c r="B1195" s="49">
        <v>143.995</v>
      </c>
      <c r="C1195" s="50">
        <f t="shared" si="39"/>
        <v>45596</v>
      </c>
      <c r="D1195" s="51">
        <f t="shared" si="40"/>
        <v>145.16499999999999</v>
      </c>
      <c r="E1195" s="52"/>
      <c r="F1195" s="53"/>
    </row>
    <row r="1196" spans="1:6" x14ac:dyDescent="0.3">
      <c r="A1196" s="48">
        <v>45595</v>
      </c>
      <c r="B1196" s="49">
        <v>144.8441</v>
      </c>
      <c r="C1196" s="50">
        <f t="shared" si="39"/>
        <v>45596</v>
      </c>
      <c r="D1196" s="51">
        <f t="shared" si="40"/>
        <v>145.16499999999999</v>
      </c>
      <c r="E1196" s="52"/>
      <c r="F1196" s="53"/>
    </row>
    <row r="1197" spans="1:6" x14ac:dyDescent="0.3">
      <c r="A1197" s="48">
        <v>45596</v>
      </c>
      <c r="B1197" s="49">
        <v>145.16499999999999</v>
      </c>
      <c r="C1197" s="50">
        <f t="shared" si="39"/>
        <v>45596</v>
      </c>
      <c r="D1197" s="51">
        <f t="shared" si="40"/>
        <v>145.16499999999999</v>
      </c>
      <c r="E1197" s="52"/>
      <c r="F1197" s="53"/>
    </row>
    <row r="1198" spans="1:6" x14ac:dyDescent="0.3">
      <c r="A1198" s="48">
        <v>45600</v>
      </c>
      <c r="B1198" s="49">
        <v>144.70599999999999</v>
      </c>
      <c r="C1198" s="50">
        <f t="shared" si="39"/>
        <v>45626</v>
      </c>
      <c r="D1198" s="51">
        <f t="shared" si="40"/>
        <v>146.48949999999999</v>
      </c>
      <c r="E1198" s="52"/>
      <c r="F1198" s="53"/>
    </row>
    <row r="1199" spans="1:6" x14ac:dyDescent="0.3">
      <c r="A1199" s="48">
        <v>45601</v>
      </c>
      <c r="B1199" s="49">
        <v>145.8527</v>
      </c>
      <c r="C1199" s="50">
        <f t="shared" si="39"/>
        <v>45626</v>
      </c>
      <c r="D1199" s="51">
        <f t="shared" si="40"/>
        <v>146.48949999999999</v>
      </c>
      <c r="E1199" s="52"/>
      <c r="F1199" s="53"/>
    </row>
    <row r="1200" spans="1:6" x14ac:dyDescent="0.3">
      <c r="A1200" s="48">
        <v>45602</v>
      </c>
      <c r="B1200" s="49">
        <v>146.74770000000001</v>
      </c>
      <c r="C1200" s="50">
        <f t="shared" si="39"/>
        <v>45626</v>
      </c>
      <c r="D1200" s="51">
        <f t="shared" si="40"/>
        <v>146.48949999999999</v>
      </c>
      <c r="E1200" s="52"/>
      <c r="F1200" s="53"/>
    </row>
    <row r="1201" spans="1:6" x14ac:dyDescent="0.3">
      <c r="A1201" s="48">
        <v>45603</v>
      </c>
      <c r="B1201" s="49">
        <v>144.56010000000001</v>
      </c>
      <c r="C1201" s="50">
        <f t="shared" si="39"/>
        <v>45626</v>
      </c>
      <c r="D1201" s="51">
        <f t="shared" si="40"/>
        <v>146.48949999999999</v>
      </c>
      <c r="E1201" s="52"/>
      <c r="F1201" s="53"/>
    </row>
    <row r="1202" spans="1:6" x14ac:dyDescent="0.3">
      <c r="A1202" s="48">
        <v>45604</v>
      </c>
      <c r="B1202" s="49">
        <v>144.55430000000001</v>
      </c>
      <c r="C1202" s="50">
        <f t="shared" si="39"/>
        <v>45626</v>
      </c>
      <c r="D1202" s="51">
        <f t="shared" si="40"/>
        <v>146.48949999999999</v>
      </c>
      <c r="E1202" s="52"/>
      <c r="F1202" s="53"/>
    </row>
    <row r="1203" spans="1:6" x14ac:dyDescent="0.3">
      <c r="A1203" s="48">
        <v>45607</v>
      </c>
      <c r="B1203" s="49">
        <v>143.31209999999999</v>
      </c>
      <c r="C1203" s="50">
        <f t="shared" si="39"/>
        <v>45626</v>
      </c>
      <c r="D1203" s="51">
        <f t="shared" si="40"/>
        <v>146.48949999999999</v>
      </c>
      <c r="E1203" s="52"/>
      <c r="F1203" s="53"/>
    </row>
    <row r="1204" spans="1:6" x14ac:dyDescent="0.3">
      <c r="A1204" s="48">
        <v>45608</v>
      </c>
      <c r="B1204" s="49">
        <v>142.33529999999999</v>
      </c>
      <c r="C1204" s="50">
        <f t="shared" si="39"/>
        <v>45626</v>
      </c>
      <c r="D1204" s="51">
        <f t="shared" si="40"/>
        <v>146.48949999999999</v>
      </c>
      <c r="E1204" s="52"/>
      <c r="F1204" s="53"/>
    </row>
    <row r="1205" spans="1:6" x14ac:dyDescent="0.3">
      <c r="A1205" s="48">
        <v>45609</v>
      </c>
      <c r="B1205" s="49">
        <v>141.1437</v>
      </c>
      <c r="C1205" s="50">
        <f t="shared" si="39"/>
        <v>45626</v>
      </c>
      <c r="D1205" s="51">
        <f t="shared" si="40"/>
        <v>146.48949999999999</v>
      </c>
      <c r="E1205" s="52"/>
      <c r="F1205" s="53"/>
    </row>
    <row r="1206" spans="1:6" x14ac:dyDescent="0.3">
      <c r="A1206" s="48">
        <v>45610</v>
      </c>
      <c r="B1206" s="49">
        <v>141.07050000000001</v>
      </c>
      <c r="C1206" s="50">
        <f t="shared" si="39"/>
        <v>45626</v>
      </c>
      <c r="D1206" s="51">
        <f t="shared" si="40"/>
        <v>146.48949999999999</v>
      </c>
      <c r="E1206" s="52"/>
      <c r="F1206" s="53"/>
    </row>
    <row r="1207" spans="1:6" x14ac:dyDescent="0.3">
      <c r="A1207" s="48">
        <v>45614</v>
      </c>
      <c r="B1207" s="49">
        <v>142.45750000000001</v>
      </c>
      <c r="C1207" s="50">
        <f t="shared" si="39"/>
        <v>45626</v>
      </c>
      <c r="D1207" s="51">
        <f t="shared" si="40"/>
        <v>146.48949999999999</v>
      </c>
      <c r="E1207" s="52"/>
      <c r="F1207" s="53"/>
    </row>
    <row r="1208" spans="1:6" x14ac:dyDescent="0.3">
      <c r="A1208" s="48">
        <v>45615</v>
      </c>
      <c r="B1208" s="49">
        <v>142.58340000000001</v>
      </c>
      <c r="C1208" s="50">
        <f t="shared" si="39"/>
        <v>45626</v>
      </c>
      <c r="D1208" s="51">
        <f t="shared" si="40"/>
        <v>146.48949999999999</v>
      </c>
      <c r="E1208" s="52"/>
      <c r="F1208" s="53"/>
    </row>
    <row r="1209" spans="1:6" x14ac:dyDescent="0.3">
      <c r="A1209" s="48">
        <v>45617</v>
      </c>
      <c r="B1209" s="49">
        <v>141.48400000000001</v>
      </c>
      <c r="C1209" s="50">
        <f t="shared" si="39"/>
        <v>45626</v>
      </c>
      <c r="D1209" s="51">
        <f t="shared" si="40"/>
        <v>146.48949999999999</v>
      </c>
      <c r="E1209" s="52"/>
      <c r="F1209" s="53"/>
    </row>
    <row r="1210" spans="1:6" x14ac:dyDescent="0.3">
      <c r="A1210" s="48">
        <v>45618</v>
      </c>
      <c r="B1210" s="49">
        <v>142.7989</v>
      </c>
      <c r="C1210" s="50">
        <f t="shared" si="39"/>
        <v>45626</v>
      </c>
      <c r="D1210" s="51">
        <f t="shared" si="40"/>
        <v>146.48949999999999</v>
      </c>
      <c r="E1210" s="52"/>
      <c r="F1210" s="53"/>
    </row>
    <row r="1211" spans="1:6" x14ac:dyDescent="0.3">
      <c r="A1211" s="48">
        <v>45621</v>
      </c>
      <c r="B1211" s="49">
        <v>144.17949999999999</v>
      </c>
      <c r="C1211" s="50">
        <f t="shared" si="39"/>
        <v>45626</v>
      </c>
      <c r="D1211" s="51">
        <f t="shared" si="40"/>
        <v>146.48949999999999</v>
      </c>
      <c r="E1211" s="52"/>
      <c r="F1211" s="53"/>
    </row>
    <row r="1212" spans="1:6" x14ac:dyDescent="0.3">
      <c r="A1212" s="48">
        <v>45622</v>
      </c>
      <c r="B1212" s="49">
        <v>144.202</v>
      </c>
      <c r="C1212" s="50">
        <f t="shared" si="39"/>
        <v>45626</v>
      </c>
      <c r="D1212" s="51">
        <f t="shared" si="40"/>
        <v>146.48949999999999</v>
      </c>
      <c r="E1212" s="52"/>
      <c r="F1212" s="53"/>
    </row>
    <row r="1213" spans="1:6" x14ac:dyDescent="0.3">
      <c r="A1213" s="48">
        <v>45623</v>
      </c>
      <c r="B1213" s="49">
        <v>144.54329999999999</v>
      </c>
      <c r="C1213" s="50">
        <f t="shared" si="39"/>
        <v>45626</v>
      </c>
      <c r="D1213" s="51">
        <f t="shared" si="40"/>
        <v>146.48949999999999</v>
      </c>
      <c r="E1213" s="52"/>
      <c r="F1213" s="53"/>
    </row>
    <row r="1214" spans="1:6" x14ac:dyDescent="0.3">
      <c r="A1214" s="48">
        <v>45624</v>
      </c>
      <c r="B1214" s="49">
        <v>144.46610000000001</v>
      </c>
      <c r="C1214" s="50">
        <f t="shared" si="39"/>
        <v>45626</v>
      </c>
      <c r="D1214" s="51">
        <f t="shared" si="40"/>
        <v>146.48949999999999</v>
      </c>
      <c r="E1214" s="52"/>
      <c r="F1214" s="53"/>
    </row>
    <row r="1215" spans="1:6" x14ac:dyDescent="0.3">
      <c r="A1215" s="48">
        <v>45625</v>
      </c>
      <c r="B1215" s="49">
        <v>146.48949999999999</v>
      </c>
      <c r="C1215" s="50">
        <f t="shared" si="39"/>
        <v>45626</v>
      </c>
      <c r="D1215" s="51">
        <f t="shared" si="40"/>
        <v>146.48949999999999</v>
      </c>
      <c r="E1215" s="52"/>
      <c r="F1215" s="53"/>
    </row>
    <row r="1216" spans="1:6" x14ac:dyDescent="0.3">
      <c r="A1216" s="48">
        <v>45628</v>
      </c>
      <c r="B1216" s="49">
        <v>146.7448</v>
      </c>
      <c r="C1216" s="50">
        <f t="shared" si="39"/>
        <v>45657</v>
      </c>
      <c r="D1216" s="51">
        <f t="shared" si="40"/>
        <v>144.6593</v>
      </c>
      <c r="E1216" s="52"/>
      <c r="F1216" s="53"/>
    </row>
    <row r="1217" spans="1:6" x14ac:dyDescent="0.3">
      <c r="A1217" s="48">
        <v>45629</v>
      </c>
      <c r="B1217" s="49">
        <v>147.28790000000001</v>
      </c>
      <c r="C1217" s="50">
        <f t="shared" si="39"/>
        <v>45657</v>
      </c>
      <c r="D1217" s="51">
        <f t="shared" si="40"/>
        <v>144.6593</v>
      </c>
      <c r="E1217" s="52"/>
      <c r="F1217" s="53"/>
    </row>
    <row r="1218" spans="1:6" x14ac:dyDescent="0.3">
      <c r="A1218" s="48">
        <v>45630</v>
      </c>
      <c r="B1218" s="49">
        <v>148.0453</v>
      </c>
      <c r="C1218" s="50">
        <f t="shared" si="39"/>
        <v>45657</v>
      </c>
      <c r="D1218" s="51">
        <f t="shared" si="40"/>
        <v>144.6593</v>
      </c>
      <c r="E1218" s="52"/>
      <c r="F1218" s="53"/>
    </row>
    <row r="1219" spans="1:6" x14ac:dyDescent="0.3">
      <c r="A1219" s="48">
        <v>45631</v>
      </c>
      <c r="B1219" s="49">
        <v>148.25710000000001</v>
      </c>
      <c r="C1219" s="50">
        <f t="shared" ref="C1219:C1282" si="41">EOMONTH(A1219,0)</f>
        <v>45657</v>
      </c>
      <c r="D1219" s="51">
        <f t="shared" ref="D1219:D1282" si="42">INDEX($B$3:$B$2001, MATCH($C1219, $A$3:$A$2001, 1))</f>
        <v>144.6593</v>
      </c>
      <c r="E1219" s="52"/>
      <c r="F1219" s="53"/>
    </row>
    <row r="1220" spans="1:6" x14ac:dyDescent="0.3">
      <c r="A1220" s="48">
        <v>45632</v>
      </c>
      <c r="B1220" s="49">
        <v>148.173</v>
      </c>
      <c r="C1220" s="50">
        <f t="shared" si="41"/>
        <v>45657</v>
      </c>
      <c r="D1220" s="51">
        <f t="shared" si="42"/>
        <v>144.6593</v>
      </c>
      <c r="E1220" s="52"/>
      <c r="F1220" s="53"/>
    </row>
    <row r="1221" spans="1:6" x14ac:dyDescent="0.3">
      <c r="A1221" s="48">
        <v>45635</v>
      </c>
      <c r="B1221" s="49">
        <v>148.28530000000001</v>
      </c>
      <c r="C1221" s="50">
        <f t="shared" si="41"/>
        <v>45657</v>
      </c>
      <c r="D1221" s="51">
        <f t="shared" si="42"/>
        <v>144.6593</v>
      </c>
      <c r="E1221" s="52"/>
      <c r="F1221" s="53"/>
    </row>
    <row r="1222" spans="1:6" x14ac:dyDescent="0.3">
      <c r="A1222" s="48">
        <v>45636</v>
      </c>
      <c r="B1222" s="49">
        <v>147.8777</v>
      </c>
      <c r="C1222" s="50">
        <f t="shared" si="41"/>
        <v>45657</v>
      </c>
      <c r="D1222" s="51">
        <f t="shared" si="42"/>
        <v>144.6593</v>
      </c>
      <c r="E1222" s="52"/>
      <c r="F1222" s="53"/>
    </row>
    <row r="1223" spans="1:6" x14ac:dyDescent="0.3">
      <c r="A1223" s="48">
        <v>45637</v>
      </c>
      <c r="B1223" s="49">
        <v>148.52680000000001</v>
      </c>
      <c r="C1223" s="50">
        <f t="shared" si="41"/>
        <v>45657</v>
      </c>
      <c r="D1223" s="51">
        <f t="shared" si="42"/>
        <v>144.6593</v>
      </c>
      <c r="E1223" s="52"/>
      <c r="F1223" s="53"/>
    </row>
    <row r="1224" spans="1:6" x14ac:dyDescent="0.3">
      <c r="A1224" s="48">
        <v>45638</v>
      </c>
      <c r="B1224" s="49">
        <v>147.58240000000001</v>
      </c>
      <c r="C1224" s="50">
        <f t="shared" si="41"/>
        <v>45657</v>
      </c>
      <c r="D1224" s="51">
        <f t="shared" si="42"/>
        <v>144.6593</v>
      </c>
      <c r="E1224" s="52"/>
      <c r="F1224" s="53"/>
    </row>
    <row r="1225" spans="1:6" x14ac:dyDescent="0.3">
      <c r="A1225" s="48">
        <v>45639</v>
      </c>
      <c r="B1225" s="49">
        <v>147.54519999999999</v>
      </c>
      <c r="C1225" s="50">
        <f t="shared" si="41"/>
        <v>45657</v>
      </c>
      <c r="D1225" s="51">
        <f t="shared" si="42"/>
        <v>144.6593</v>
      </c>
      <c r="E1225" s="52"/>
      <c r="F1225" s="53"/>
    </row>
    <row r="1226" spans="1:6" x14ac:dyDescent="0.3">
      <c r="A1226" s="48">
        <v>45642</v>
      </c>
      <c r="B1226" s="49">
        <v>148.24870000000001</v>
      </c>
      <c r="C1226" s="50">
        <f t="shared" si="41"/>
        <v>45657</v>
      </c>
      <c r="D1226" s="51">
        <f t="shared" si="42"/>
        <v>144.6593</v>
      </c>
      <c r="E1226" s="52"/>
      <c r="F1226" s="53"/>
    </row>
    <row r="1227" spans="1:6" x14ac:dyDescent="0.3">
      <c r="A1227" s="48">
        <v>45643</v>
      </c>
      <c r="B1227" s="49">
        <v>146.88919999999999</v>
      </c>
      <c r="C1227" s="50">
        <f t="shared" si="41"/>
        <v>45657</v>
      </c>
      <c r="D1227" s="51">
        <f t="shared" si="42"/>
        <v>144.6593</v>
      </c>
      <c r="E1227" s="52"/>
      <c r="F1227" s="53"/>
    </row>
    <row r="1228" spans="1:6" x14ac:dyDescent="0.3">
      <c r="A1228" s="48">
        <v>45644</v>
      </c>
      <c r="B1228" s="49">
        <v>145.869</v>
      </c>
      <c r="C1228" s="50">
        <f t="shared" si="41"/>
        <v>45657</v>
      </c>
      <c r="D1228" s="51">
        <f t="shared" si="42"/>
        <v>144.6593</v>
      </c>
      <c r="E1228" s="52"/>
      <c r="F1228" s="53"/>
    </row>
    <row r="1229" spans="1:6" x14ac:dyDescent="0.3">
      <c r="A1229" s="48">
        <v>45645</v>
      </c>
      <c r="B1229" s="49">
        <v>144.71960000000001</v>
      </c>
      <c r="C1229" s="50">
        <f t="shared" si="41"/>
        <v>45657</v>
      </c>
      <c r="D1229" s="51">
        <f t="shared" si="42"/>
        <v>144.6593</v>
      </c>
      <c r="E1229" s="52"/>
      <c r="F1229" s="53"/>
    </row>
    <row r="1230" spans="1:6" x14ac:dyDescent="0.3">
      <c r="A1230" s="48">
        <v>45646</v>
      </c>
      <c r="B1230" s="49">
        <v>143.3724</v>
      </c>
      <c r="C1230" s="50">
        <f t="shared" si="41"/>
        <v>45657</v>
      </c>
      <c r="D1230" s="51">
        <f t="shared" si="42"/>
        <v>144.6593</v>
      </c>
      <c r="E1230" s="52"/>
      <c r="F1230" s="53"/>
    </row>
    <row r="1231" spans="1:6" x14ac:dyDescent="0.3">
      <c r="A1231" s="48">
        <v>45649</v>
      </c>
      <c r="B1231" s="49">
        <v>144.57769999999999</v>
      </c>
      <c r="C1231" s="50">
        <f t="shared" si="41"/>
        <v>45657</v>
      </c>
      <c r="D1231" s="51">
        <f t="shared" si="42"/>
        <v>144.6593</v>
      </c>
      <c r="E1231" s="52"/>
      <c r="F1231" s="53"/>
    </row>
    <row r="1232" spans="1:6" x14ac:dyDescent="0.3">
      <c r="A1232" s="48">
        <v>45650</v>
      </c>
      <c r="B1232" s="49">
        <v>144.64709999999999</v>
      </c>
      <c r="C1232" s="50">
        <f t="shared" si="41"/>
        <v>45657</v>
      </c>
      <c r="D1232" s="51">
        <f t="shared" si="42"/>
        <v>144.6593</v>
      </c>
      <c r="E1232" s="52"/>
      <c r="F1232" s="53"/>
    </row>
    <row r="1233" spans="1:6" x14ac:dyDescent="0.3">
      <c r="A1233" s="48">
        <v>45652</v>
      </c>
      <c r="B1233" s="49">
        <v>144.20590000000001</v>
      </c>
      <c r="C1233" s="50">
        <f t="shared" si="41"/>
        <v>45657</v>
      </c>
      <c r="D1233" s="51">
        <f t="shared" si="42"/>
        <v>144.6593</v>
      </c>
      <c r="E1233" s="52"/>
      <c r="F1233" s="53"/>
    </row>
    <row r="1234" spans="1:6" x14ac:dyDescent="0.3">
      <c r="A1234" s="48">
        <v>45653</v>
      </c>
      <c r="B1234" s="49">
        <v>144.4434</v>
      </c>
      <c r="C1234" s="50">
        <f t="shared" si="41"/>
        <v>45657</v>
      </c>
      <c r="D1234" s="51">
        <f t="shared" si="42"/>
        <v>144.6593</v>
      </c>
      <c r="E1234" s="52"/>
      <c r="F1234" s="53"/>
    </row>
    <row r="1235" spans="1:6" x14ac:dyDescent="0.3">
      <c r="A1235" s="48">
        <v>45656</v>
      </c>
      <c r="B1235" s="49">
        <v>144.68209999999999</v>
      </c>
      <c r="C1235" s="50">
        <f t="shared" si="41"/>
        <v>45657</v>
      </c>
      <c r="D1235" s="51">
        <f t="shared" si="42"/>
        <v>144.6593</v>
      </c>
      <c r="E1235" s="52"/>
      <c r="F1235" s="53"/>
    </row>
    <row r="1236" spans="1:6" x14ac:dyDescent="0.3">
      <c r="A1236" s="48">
        <v>45657</v>
      </c>
      <c r="B1236" s="49">
        <v>144.6593</v>
      </c>
      <c r="C1236" s="50">
        <f t="shared" si="41"/>
        <v>45657</v>
      </c>
      <c r="D1236" s="51">
        <f t="shared" si="42"/>
        <v>144.6593</v>
      </c>
      <c r="E1236" s="52"/>
      <c r="F1236" s="53"/>
    </row>
    <row r="1237" spans="1:6" x14ac:dyDescent="0.3">
      <c r="A1237" s="48">
        <v>45658</v>
      </c>
      <c r="B1237" s="49">
        <v>145.0505</v>
      </c>
      <c r="C1237" s="50">
        <f t="shared" si="41"/>
        <v>45688</v>
      </c>
      <c r="D1237" s="51">
        <f t="shared" si="42"/>
        <v>139.68299999999999</v>
      </c>
      <c r="E1237" s="52"/>
      <c r="F1237" s="53"/>
    </row>
    <row r="1238" spans="1:6" x14ac:dyDescent="0.3">
      <c r="A1238" s="48">
        <v>45659</v>
      </c>
      <c r="B1238" s="49">
        <v>146.07589999999999</v>
      </c>
      <c r="C1238" s="50">
        <f t="shared" si="41"/>
        <v>45688</v>
      </c>
      <c r="D1238" s="51">
        <f t="shared" si="42"/>
        <v>139.68299999999999</v>
      </c>
      <c r="E1238" s="52"/>
      <c r="F1238" s="53"/>
    </row>
    <row r="1239" spans="1:6" x14ac:dyDescent="0.3">
      <c r="A1239" s="48">
        <v>45660</v>
      </c>
      <c r="B1239" s="49">
        <v>146.1405</v>
      </c>
      <c r="C1239" s="50">
        <f t="shared" si="41"/>
        <v>45688</v>
      </c>
      <c r="D1239" s="51">
        <f t="shared" si="42"/>
        <v>139.68299999999999</v>
      </c>
      <c r="E1239" s="52"/>
      <c r="F1239" s="53"/>
    </row>
    <row r="1240" spans="1:6" x14ac:dyDescent="0.3">
      <c r="A1240" s="48">
        <v>45663</v>
      </c>
      <c r="B1240" s="49">
        <v>143.76070000000001</v>
      </c>
      <c r="C1240" s="50">
        <f t="shared" si="41"/>
        <v>45688</v>
      </c>
      <c r="D1240" s="51">
        <f t="shared" si="42"/>
        <v>139.68299999999999</v>
      </c>
      <c r="E1240" s="52"/>
      <c r="F1240" s="53"/>
    </row>
    <row r="1241" spans="1:6" x14ac:dyDescent="0.3">
      <c r="A1241" s="48">
        <v>45664</v>
      </c>
      <c r="B1241" s="49">
        <v>144.79990000000001</v>
      </c>
      <c r="C1241" s="50">
        <f t="shared" si="41"/>
        <v>45688</v>
      </c>
      <c r="D1241" s="51">
        <f t="shared" si="42"/>
        <v>139.68299999999999</v>
      </c>
      <c r="E1241" s="52"/>
      <c r="F1241" s="53"/>
    </row>
    <row r="1242" spans="1:6" x14ac:dyDescent="0.3">
      <c r="A1242" s="48">
        <v>45665</v>
      </c>
      <c r="B1242" s="49">
        <v>144.53659999999999</v>
      </c>
      <c r="C1242" s="50">
        <f t="shared" si="41"/>
        <v>45688</v>
      </c>
      <c r="D1242" s="51">
        <f t="shared" si="42"/>
        <v>139.68299999999999</v>
      </c>
      <c r="E1242" s="52"/>
      <c r="F1242" s="53"/>
    </row>
    <row r="1243" spans="1:6" x14ac:dyDescent="0.3">
      <c r="A1243" s="48">
        <v>45666</v>
      </c>
      <c r="B1243" s="49">
        <v>143.21770000000001</v>
      </c>
      <c r="C1243" s="50">
        <f t="shared" si="41"/>
        <v>45688</v>
      </c>
      <c r="D1243" s="51">
        <f t="shared" si="42"/>
        <v>139.68299999999999</v>
      </c>
      <c r="E1243" s="52"/>
      <c r="F1243" s="53"/>
    </row>
    <row r="1244" spans="1:6" x14ac:dyDescent="0.3">
      <c r="A1244" s="48">
        <v>45667</v>
      </c>
      <c r="B1244" s="49">
        <v>141.56720000000001</v>
      </c>
      <c r="C1244" s="50">
        <f t="shared" si="41"/>
        <v>45688</v>
      </c>
      <c r="D1244" s="51">
        <f t="shared" si="42"/>
        <v>139.68299999999999</v>
      </c>
      <c r="E1244" s="52"/>
      <c r="F1244" s="53"/>
    </row>
    <row r="1245" spans="1:6" x14ac:dyDescent="0.3">
      <c r="A1245" s="48">
        <v>45670</v>
      </c>
      <c r="B1245" s="49">
        <v>139.80350000000001</v>
      </c>
      <c r="C1245" s="50">
        <f t="shared" si="41"/>
        <v>45688</v>
      </c>
      <c r="D1245" s="51">
        <f t="shared" si="42"/>
        <v>139.68299999999999</v>
      </c>
      <c r="E1245" s="52"/>
      <c r="F1245" s="53"/>
    </row>
    <row r="1246" spans="1:6" x14ac:dyDescent="0.3">
      <c r="A1246" s="48">
        <v>45671</v>
      </c>
      <c r="B1246" s="49">
        <v>140.41569999999999</v>
      </c>
      <c r="C1246" s="50">
        <f t="shared" si="41"/>
        <v>45688</v>
      </c>
      <c r="D1246" s="51">
        <f t="shared" si="42"/>
        <v>139.68299999999999</v>
      </c>
      <c r="E1246" s="52"/>
      <c r="F1246" s="53"/>
    </row>
    <row r="1247" spans="1:6" x14ac:dyDescent="0.3">
      <c r="A1247" s="48">
        <v>45672</v>
      </c>
      <c r="B1247" s="49">
        <v>141.2534</v>
      </c>
      <c r="C1247" s="50">
        <f t="shared" si="41"/>
        <v>45688</v>
      </c>
      <c r="D1247" s="51">
        <f t="shared" si="42"/>
        <v>139.68299999999999</v>
      </c>
      <c r="E1247" s="52"/>
      <c r="F1247" s="53"/>
    </row>
    <row r="1248" spans="1:6" x14ac:dyDescent="0.3">
      <c r="A1248" s="48">
        <v>45673</v>
      </c>
      <c r="B1248" s="49">
        <v>142.08680000000001</v>
      </c>
      <c r="C1248" s="50">
        <f t="shared" si="41"/>
        <v>45688</v>
      </c>
      <c r="D1248" s="51">
        <f t="shared" si="42"/>
        <v>139.68299999999999</v>
      </c>
      <c r="E1248" s="52"/>
      <c r="F1248" s="53"/>
    </row>
    <row r="1249" spans="1:6" x14ac:dyDescent="0.3">
      <c r="A1249" s="48">
        <v>45674</v>
      </c>
      <c r="B1249" s="49">
        <v>142.64500000000001</v>
      </c>
      <c r="C1249" s="50">
        <f t="shared" si="41"/>
        <v>45688</v>
      </c>
      <c r="D1249" s="51">
        <f t="shared" si="42"/>
        <v>139.68299999999999</v>
      </c>
      <c r="E1249" s="52"/>
      <c r="F1249" s="53"/>
    </row>
    <row r="1250" spans="1:6" x14ac:dyDescent="0.3">
      <c r="A1250" s="48">
        <v>45677</v>
      </c>
      <c r="B1250" s="49">
        <v>143.23849999999999</v>
      </c>
      <c r="C1250" s="50">
        <f t="shared" si="41"/>
        <v>45688</v>
      </c>
      <c r="D1250" s="51">
        <f t="shared" si="42"/>
        <v>139.68299999999999</v>
      </c>
      <c r="E1250" s="52"/>
      <c r="F1250" s="53"/>
    </row>
    <row r="1251" spans="1:6" x14ac:dyDescent="0.3">
      <c r="A1251" s="48">
        <v>45678</v>
      </c>
      <c r="B1251" s="49">
        <v>141.50059999999999</v>
      </c>
      <c r="C1251" s="50">
        <f t="shared" si="41"/>
        <v>45688</v>
      </c>
      <c r="D1251" s="51">
        <f t="shared" si="42"/>
        <v>139.68299999999999</v>
      </c>
      <c r="E1251" s="52"/>
      <c r="F1251" s="53"/>
    </row>
    <row r="1252" spans="1:6" x14ac:dyDescent="0.3">
      <c r="A1252" s="48">
        <v>45679</v>
      </c>
      <c r="B1252" s="49">
        <v>140.01750000000001</v>
      </c>
      <c r="C1252" s="50">
        <f t="shared" si="41"/>
        <v>45688</v>
      </c>
      <c r="D1252" s="51">
        <f t="shared" si="42"/>
        <v>139.68299999999999</v>
      </c>
      <c r="E1252" s="52"/>
      <c r="F1252" s="53"/>
    </row>
    <row r="1253" spans="1:6" x14ac:dyDescent="0.3">
      <c r="A1253" s="48">
        <v>45680</v>
      </c>
      <c r="B1253" s="49">
        <v>139.6147</v>
      </c>
      <c r="C1253" s="50">
        <f t="shared" si="41"/>
        <v>45688</v>
      </c>
      <c r="D1253" s="51">
        <f t="shared" si="42"/>
        <v>139.68299999999999</v>
      </c>
      <c r="E1253" s="52"/>
      <c r="F1253" s="53"/>
    </row>
    <row r="1254" spans="1:6" x14ac:dyDescent="0.3">
      <c r="A1254" s="48">
        <v>45681</v>
      </c>
      <c r="B1254" s="49">
        <v>138.38339999999999</v>
      </c>
      <c r="C1254" s="50">
        <f t="shared" si="41"/>
        <v>45688</v>
      </c>
      <c r="D1254" s="51">
        <f t="shared" si="42"/>
        <v>139.68299999999999</v>
      </c>
      <c r="E1254" s="52"/>
      <c r="F1254" s="53"/>
    </row>
    <row r="1255" spans="1:6" x14ac:dyDescent="0.3">
      <c r="A1255" s="48">
        <v>45684</v>
      </c>
      <c r="B1255" s="49">
        <v>136.7183</v>
      </c>
      <c r="C1255" s="50">
        <f t="shared" si="41"/>
        <v>45688</v>
      </c>
      <c r="D1255" s="51">
        <f t="shared" si="42"/>
        <v>139.68299999999999</v>
      </c>
      <c r="E1255" s="52"/>
      <c r="F1255" s="53"/>
    </row>
    <row r="1256" spans="1:6" x14ac:dyDescent="0.3">
      <c r="A1256" s="48">
        <v>45685</v>
      </c>
      <c r="B1256" s="49">
        <v>136.02029999999999</v>
      </c>
      <c r="C1256" s="50">
        <f t="shared" si="41"/>
        <v>45688</v>
      </c>
      <c r="D1256" s="51">
        <f t="shared" si="42"/>
        <v>139.68299999999999</v>
      </c>
      <c r="E1256" s="52"/>
      <c r="F1256" s="53"/>
    </row>
    <row r="1257" spans="1:6" x14ac:dyDescent="0.3">
      <c r="A1257" s="48">
        <v>45686</v>
      </c>
      <c r="B1257" s="49">
        <v>137.03540000000001</v>
      </c>
      <c r="C1257" s="50">
        <f t="shared" si="41"/>
        <v>45688</v>
      </c>
      <c r="D1257" s="51">
        <f t="shared" si="42"/>
        <v>139.68299999999999</v>
      </c>
      <c r="E1257" s="52"/>
      <c r="F1257" s="53"/>
    </row>
    <row r="1258" spans="1:6" x14ac:dyDescent="0.3">
      <c r="A1258" s="48">
        <v>45687</v>
      </c>
      <c r="B1258" s="49">
        <v>137.25040000000001</v>
      </c>
      <c r="C1258" s="50">
        <f t="shared" si="41"/>
        <v>45688</v>
      </c>
      <c r="D1258" s="51">
        <f t="shared" si="42"/>
        <v>139.68299999999999</v>
      </c>
      <c r="E1258" s="52"/>
      <c r="F1258" s="53"/>
    </row>
    <row r="1259" spans="1:6" x14ac:dyDescent="0.3">
      <c r="A1259" s="48">
        <v>45688</v>
      </c>
      <c r="B1259" s="49">
        <v>139.68299999999999</v>
      </c>
      <c r="C1259" s="50">
        <f t="shared" si="41"/>
        <v>45688</v>
      </c>
      <c r="D1259" s="51">
        <f t="shared" si="42"/>
        <v>139.68299999999999</v>
      </c>
      <c r="E1259" s="52"/>
      <c r="F1259" s="53"/>
    </row>
    <row r="1260" spans="1:6" x14ac:dyDescent="0.3">
      <c r="A1260" s="48">
        <v>45691</v>
      </c>
      <c r="B1260" s="49">
        <v>139.37129999999999</v>
      </c>
      <c r="C1260" s="50">
        <f t="shared" si="41"/>
        <v>45716</v>
      </c>
      <c r="D1260" s="51">
        <f t="shared" si="42"/>
        <v>131.92850000000001</v>
      </c>
      <c r="E1260" s="52"/>
      <c r="F1260" s="53"/>
    </row>
    <row r="1261" spans="1:6" x14ac:dyDescent="0.3">
      <c r="A1261" s="48">
        <v>45692</v>
      </c>
      <c r="B1261" s="49">
        <v>140.39439999999999</v>
      </c>
      <c r="C1261" s="50">
        <f t="shared" si="41"/>
        <v>45716</v>
      </c>
      <c r="D1261" s="51">
        <f t="shared" si="42"/>
        <v>131.92850000000001</v>
      </c>
      <c r="E1261" s="52"/>
      <c r="F1261" s="53"/>
    </row>
    <row r="1262" spans="1:6" x14ac:dyDescent="0.3">
      <c r="A1262" s="48">
        <v>45693</v>
      </c>
      <c r="B1262" s="49">
        <v>140.607</v>
      </c>
      <c r="C1262" s="50">
        <f t="shared" si="41"/>
        <v>45716</v>
      </c>
      <c r="D1262" s="51">
        <f t="shared" si="42"/>
        <v>131.92850000000001</v>
      </c>
      <c r="E1262" s="52"/>
      <c r="F1262" s="53"/>
    </row>
    <row r="1263" spans="1:6" x14ac:dyDescent="0.3">
      <c r="A1263" s="48">
        <v>45694</v>
      </c>
      <c r="B1263" s="49">
        <v>139.87639999999999</v>
      </c>
      <c r="C1263" s="50">
        <f t="shared" si="41"/>
        <v>45716</v>
      </c>
      <c r="D1263" s="51">
        <f t="shared" si="42"/>
        <v>131.92850000000001</v>
      </c>
      <c r="E1263" s="52"/>
      <c r="F1263" s="53"/>
    </row>
    <row r="1264" spans="1:6" x14ac:dyDescent="0.3">
      <c r="A1264" s="48">
        <v>45695</v>
      </c>
      <c r="B1264" s="49">
        <v>139.53229999999999</v>
      </c>
      <c r="C1264" s="50">
        <f t="shared" si="41"/>
        <v>45716</v>
      </c>
      <c r="D1264" s="51">
        <f t="shared" si="42"/>
        <v>131.92850000000001</v>
      </c>
      <c r="E1264" s="52"/>
      <c r="F1264" s="53"/>
    </row>
    <row r="1265" spans="1:6" x14ac:dyDescent="0.3">
      <c r="A1265" s="48">
        <v>45698</v>
      </c>
      <c r="B1265" s="49">
        <v>138.19210000000001</v>
      </c>
      <c r="C1265" s="50">
        <f t="shared" si="41"/>
        <v>45716</v>
      </c>
      <c r="D1265" s="51">
        <f t="shared" si="42"/>
        <v>131.92850000000001</v>
      </c>
      <c r="E1265" s="52"/>
      <c r="F1265" s="53"/>
    </row>
    <row r="1266" spans="1:6" x14ac:dyDescent="0.3">
      <c r="A1266" s="48">
        <v>45699</v>
      </c>
      <c r="B1266" s="49">
        <v>136.178</v>
      </c>
      <c r="C1266" s="50">
        <f t="shared" si="41"/>
        <v>45716</v>
      </c>
      <c r="D1266" s="51">
        <f t="shared" si="42"/>
        <v>131.92850000000001</v>
      </c>
      <c r="E1266" s="52"/>
      <c r="F1266" s="53"/>
    </row>
    <row r="1267" spans="1:6" x14ac:dyDescent="0.3">
      <c r="A1267" s="48">
        <v>45700</v>
      </c>
      <c r="B1267" s="49">
        <v>136.01599999999999</v>
      </c>
      <c r="C1267" s="50">
        <f t="shared" si="41"/>
        <v>45716</v>
      </c>
      <c r="D1267" s="51">
        <f t="shared" si="42"/>
        <v>131.92850000000001</v>
      </c>
      <c r="E1267" s="52"/>
      <c r="F1267" s="53"/>
    </row>
    <row r="1268" spans="1:6" x14ac:dyDescent="0.3">
      <c r="A1268" s="48">
        <v>45701</v>
      </c>
      <c r="B1268" s="49">
        <v>136.45859999999999</v>
      </c>
      <c r="C1268" s="50">
        <f t="shared" si="41"/>
        <v>45716</v>
      </c>
      <c r="D1268" s="51">
        <f t="shared" si="42"/>
        <v>131.92850000000001</v>
      </c>
      <c r="E1268" s="52"/>
      <c r="F1268" s="53"/>
    </row>
    <row r="1269" spans="1:6" x14ac:dyDescent="0.3">
      <c r="A1269" s="48">
        <v>45702</v>
      </c>
      <c r="B1269" s="49">
        <v>135.535</v>
      </c>
      <c r="C1269" s="50">
        <f t="shared" si="41"/>
        <v>45716</v>
      </c>
      <c r="D1269" s="51">
        <f t="shared" si="42"/>
        <v>131.92850000000001</v>
      </c>
      <c r="E1269" s="52"/>
      <c r="F1269" s="53"/>
    </row>
    <row r="1270" spans="1:6" x14ac:dyDescent="0.3">
      <c r="A1270" s="48">
        <v>45705</v>
      </c>
      <c r="B1270" s="49">
        <v>135.46870000000001</v>
      </c>
      <c r="C1270" s="50">
        <f t="shared" si="41"/>
        <v>45716</v>
      </c>
      <c r="D1270" s="51">
        <f t="shared" si="42"/>
        <v>131.92850000000001</v>
      </c>
      <c r="E1270" s="52"/>
      <c r="F1270" s="53"/>
    </row>
    <row r="1271" spans="1:6" x14ac:dyDescent="0.3">
      <c r="A1271" s="48">
        <v>45706</v>
      </c>
      <c r="B1271" s="49">
        <v>135.51480000000001</v>
      </c>
      <c r="C1271" s="50">
        <f t="shared" si="41"/>
        <v>45716</v>
      </c>
      <c r="D1271" s="51">
        <f t="shared" si="42"/>
        <v>131.92850000000001</v>
      </c>
      <c r="E1271" s="52"/>
      <c r="F1271" s="53"/>
    </row>
    <row r="1272" spans="1:6" x14ac:dyDescent="0.3">
      <c r="A1272" s="48">
        <v>45707</v>
      </c>
      <c r="B1272" s="49">
        <v>136.53299999999999</v>
      </c>
      <c r="C1272" s="50">
        <f t="shared" si="41"/>
        <v>45716</v>
      </c>
      <c r="D1272" s="51">
        <f t="shared" si="42"/>
        <v>131.92850000000001</v>
      </c>
      <c r="E1272" s="52"/>
      <c r="F1272" s="53"/>
    </row>
    <row r="1273" spans="1:6" x14ac:dyDescent="0.3">
      <c r="A1273" s="48">
        <v>45708</v>
      </c>
      <c r="B1273" s="49">
        <v>136.81620000000001</v>
      </c>
      <c r="C1273" s="50">
        <f t="shared" si="41"/>
        <v>45716</v>
      </c>
      <c r="D1273" s="51">
        <f t="shared" si="42"/>
        <v>131.92850000000001</v>
      </c>
      <c r="E1273" s="52"/>
      <c r="F1273" s="53"/>
    </row>
    <row r="1274" spans="1:6" x14ac:dyDescent="0.3">
      <c r="A1274" s="48">
        <v>45709</v>
      </c>
      <c r="B1274" s="49">
        <v>136.56129999999999</v>
      </c>
      <c r="C1274" s="50">
        <f t="shared" si="41"/>
        <v>45716</v>
      </c>
      <c r="D1274" s="51">
        <f t="shared" si="42"/>
        <v>131.92850000000001</v>
      </c>
      <c r="E1274" s="52"/>
      <c r="F1274" s="53"/>
    </row>
    <row r="1275" spans="1:6" x14ac:dyDescent="0.3">
      <c r="A1275" s="48">
        <v>45712</v>
      </c>
      <c r="B1275" s="49">
        <v>135.25110000000001</v>
      </c>
      <c r="C1275" s="50">
        <f t="shared" si="41"/>
        <v>45716</v>
      </c>
      <c r="D1275" s="51">
        <f t="shared" si="42"/>
        <v>131.92850000000001</v>
      </c>
      <c r="E1275" s="52"/>
      <c r="F1275" s="53"/>
    </row>
    <row r="1276" spans="1:6" x14ac:dyDescent="0.3">
      <c r="A1276" s="48">
        <v>45713</v>
      </c>
      <c r="B1276" s="49">
        <v>134.89769999999999</v>
      </c>
      <c r="C1276" s="50">
        <f t="shared" si="41"/>
        <v>45716</v>
      </c>
      <c r="D1276" s="51">
        <f t="shared" si="42"/>
        <v>131.92850000000001</v>
      </c>
      <c r="E1276" s="52"/>
      <c r="F1276" s="53"/>
    </row>
    <row r="1277" spans="1:6" x14ac:dyDescent="0.3">
      <c r="A1277" s="48">
        <v>45715</v>
      </c>
      <c r="B1277" s="49">
        <v>134.07210000000001</v>
      </c>
      <c r="C1277" s="50">
        <f t="shared" si="41"/>
        <v>45716</v>
      </c>
      <c r="D1277" s="51">
        <f t="shared" si="42"/>
        <v>131.92850000000001</v>
      </c>
      <c r="E1277" s="52"/>
      <c r="F1277" s="53"/>
    </row>
    <row r="1278" spans="1:6" x14ac:dyDescent="0.3">
      <c r="A1278" s="48">
        <v>45716</v>
      </c>
      <c r="B1278" s="49">
        <v>131.92850000000001</v>
      </c>
      <c r="C1278" s="50">
        <f t="shared" si="41"/>
        <v>45716</v>
      </c>
      <c r="D1278" s="51">
        <f t="shared" si="42"/>
        <v>131.92850000000001</v>
      </c>
      <c r="E1278" s="52"/>
      <c r="F1278" s="53"/>
    </row>
    <row r="1279" spans="1:6" x14ac:dyDescent="0.3">
      <c r="A1279" s="48">
        <v>45719</v>
      </c>
      <c r="B1279" s="49">
        <v>131.3398</v>
      </c>
      <c r="C1279" s="50">
        <f t="shared" si="41"/>
        <v>45747</v>
      </c>
      <c r="D1279" s="51">
        <f t="shared" si="42"/>
        <v>139.79820000000001</v>
      </c>
      <c r="E1279" s="52"/>
      <c r="F1279" s="53"/>
    </row>
    <row r="1280" spans="1:6" x14ac:dyDescent="0.3">
      <c r="A1280" s="48">
        <v>45720</v>
      </c>
      <c r="B1280" s="49">
        <v>131.64169999999999</v>
      </c>
      <c r="C1280" s="50">
        <f t="shared" si="41"/>
        <v>45747</v>
      </c>
      <c r="D1280" s="51">
        <f t="shared" si="42"/>
        <v>139.79820000000001</v>
      </c>
      <c r="E1280" s="52"/>
      <c r="F1280" s="53"/>
    </row>
    <row r="1281" spans="1:6" x14ac:dyDescent="0.3">
      <c r="A1281" s="48">
        <v>45721</v>
      </c>
      <c r="B1281" s="49">
        <v>133.71610000000001</v>
      </c>
      <c r="C1281" s="50">
        <f t="shared" si="41"/>
        <v>45747</v>
      </c>
      <c r="D1281" s="51">
        <f t="shared" si="42"/>
        <v>139.79820000000001</v>
      </c>
      <c r="E1281" s="52"/>
      <c r="F1281" s="53"/>
    </row>
    <row r="1282" spans="1:6" x14ac:dyDescent="0.3">
      <c r="A1282" s="48">
        <v>45722</v>
      </c>
      <c r="B1282" s="49">
        <v>135.12180000000001</v>
      </c>
      <c r="C1282" s="50">
        <f t="shared" si="41"/>
        <v>45747</v>
      </c>
      <c r="D1282" s="51">
        <f t="shared" si="42"/>
        <v>139.79820000000001</v>
      </c>
      <c r="E1282" s="52"/>
      <c r="F1282" s="53"/>
    </row>
    <row r="1283" spans="1:6" x14ac:dyDescent="0.3">
      <c r="A1283" s="48">
        <v>45723</v>
      </c>
      <c r="B1283" s="49">
        <v>135.8605</v>
      </c>
      <c r="C1283" s="50">
        <f t="shared" ref="C1283:C1346" si="43">EOMONTH(A1283,0)</f>
        <v>45747</v>
      </c>
      <c r="D1283" s="51">
        <f t="shared" ref="D1283:D1346" si="44">INDEX($B$3:$B$2001, MATCH($C1283, $A$3:$A$2001, 1))</f>
        <v>139.79820000000001</v>
      </c>
      <c r="E1283" s="52"/>
      <c r="F1283" s="53"/>
    </row>
    <row r="1284" spans="1:6" x14ac:dyDescent="0.3">
      <c r="A1284" s="48">
        <v>45726</v>
      </c>
      <c r="B1284" s="49">
        <v>134.7475</v>
      </c>
      <c r="C1284" s="50">
        <f t="shared" si="43"/>
        <v>45747</v>
      </c>
      <c r="D1284" s="51">
        <f t="shared" si="44"/>
        <v>139.79820000000001</v>
      </c>
      <c r="E1284" s="52"/>
      <c r="F1284" s="53"/>
    </row>
    <row r="1285" spans="1:6" x14ac:dyDescent="0.3">
      <c r="A1285" s="48">
        <v>45727</v>
      </c>
      <c r="B1285" s="49">
        <v>135.12950000000001</v>
      </c>
      <c r="C1285" s="50">
        <f t="shared" si="43"/>
        <v>45747</v>
      </c>
      <c r="D1285" s="51">
        <f t="shared" si="44"/>
        <v>139.79820000000001</v>
      </c>
      <c r="E1285" s="52"/>
      <c r="F1285" s="53"/>
    </row>
    <row r="1286" spans="1:6" x14ac:dyDescent="0.3">
      <c r="A1286" s="48">
        <v>45728</v>
      </c>
      <c r="B1286" s="49">
        <v>135.75229999999999</v>
      </c>
      <c r="C1286" s="50">
        <f t="shared" si="43"/>
        <v>45747</v>
      </c>
      <c r="D1286" s="51">
        <f t="shared" si="44"/>
        <v>139.79820000000001</v>
      </c>
      <c r="E1286" s="52"/>
      <c r="F1286" s="53"/>
    </row>
    <row r="1287" spans="1:6" x14ac:dyDescent="0.3">
      <c r="A1287" s="48">
        <v>45729</v>
      </c>
      <c r="B1287" s="49">
        <v>135.5795</v>
      </c>
      <c r="C1287" s="50">
        <f t="shared" si="43"/>
        <v>45747</v>
      </c>
      <c r="D1287" s="51">
        <f t="shared" si="44"/>
        <v>139.79820000000001</v>
      </c>
      <c r="E1287" s="52"/>
      <c r="F1287" s="53"/>
    </row>
    <row r="1288" spans="1:6" x14ac:dyDescent="0.3">
      <c r="A1288" s="48">
        <v>45733</v>
      </c>
      <c r="B1288" s="49">
        <v>135.7525</v>
      </c>
      <c r="C1288" s="50">
        <f t="shared" si="43"/>
        <v>45747</v>
      </c>
      <c r="D1288" s="51">
        <f t="shared" si="44"/>
        <v>139.79820000000001</v>
      </c>
      <c r="E1288" s="52"/>
      <c r="F1288" s="53"/>
    </row>
    <row r="1289" spans="1:6" x14ac:dyDescent="0.3">
      <c r="A1289" s="48">
        <v>45734</v>
      </c>
      <c r="B1289" s="49">
        <v>136.64250000000001</v>
      </c>
      <c r="C1289" s="50">
        <f t="shared" si="43"/>
        <v>45747</v>
      </c>
      <c r="D1289" s="51">
        <f t="shared" si="44"/>
        <v>139.79820000000001</v>
      </c>
      <c r="E1289" s="52"/>
      <c r="F1289" s="53"/>
    </row>
    <row r="1290" spans="1:6" x14ac:dyDescent="0.3">
      <c r="A1290" s="48">
        <v>45735</v>
      </c>
      <c r="B1290" s="49">
        <v>137.50659999999999</v>
      </c>
      <c r="C1290" s="50">
        <f t="shared" si="43"/>
        <v>45747</v>
      </c>
      <c r="D1290" s="51">
        <f t="shared" si="44"/>
        <v>139.79820000000001</v>
      </c>
      <c r="E1290" s="52"/>
      <c r="F1290" s="53"/>
    </row>
    <row r="1291" spans="1:6" x14ac:dyDescent="0.3">
      <c r="A1291" s="48">
        <v>45736</v>
      </c>
      <c r="B1291" s="49">
        <v>138.34</v>
      </c>
      <c r="C1291" s="50">
        <f t="shared" si="43"/>
        <v>45747</v>
      </c>
      <c r="D1291" s="51">
        <f t="shared" si="44"/>
        <v>139.79820000000001</v>
      </c>
      <c r="E1291" s="52"/>
      <c r="F1291" s="53"/>
    </row>
    <row r="1292" spans="1:6" x14ac:dyDescent="0.3">
      <c r="A1292" s="48">
        <v>45737</v>
      </c>
      <c r="B1292" s="49">
        <v>138.3057</v>
      </c>
      <c r="C1292" s="50">
        <f t="shared" si="43"/>
        <v>45747</v>
      </c>
      <c r="D1292" s="51">
        <f t="shared" si="44"/>
        <v>139.79820000000001</v>
      </c>
      <c r="E1292" s="52"/>
      <c r="F1292" s="53"/>
    </row>
    <row r="1293" spans="1:6" x14ac:dyDescent="0.3">
      <c r="A1293" s="48">
        <v>45740</v>
      </c>
      <c r="B1293" s="49">
        <v>139.4033</v>
      </c>
      <c r="C1293" s="50">
        <f t="shared" si="43"/>
        <v>45747</v>
      </c>
      <c r="D1293" s="51">
        <f t="shared" si="44"/>
        <v>139.79820000000001</v>
      </c>
      <c r="E1293" s="52"/>
      <c r="F1293" s="53"/>
    </row>
    <row r="1294" spans="1:6" x14ac:dyDescent="0.3">
      <c r="A1294" s="48">
        <v>45741</v>
      </c>
      <c r="B1294" s="49">
        <v>139.01179999999999</v>
      </c>
      <c r="C1294" s="50">
        <f t="shared" si="43"/>
        <v>45747</v>
      </c>
      <c r="D1294" s="51">
        <f t="shared" si="44"/>
        <v>139.79820000000001</v>
      </c>
      <c r="E1294" s="52"/>
      <c r="F1294" s="53"/>
    </row>
    <row r="1295" spans="1:6" x14ac:dyDescent="0.3">
      <c r="A1295" s="48">
        <v>45742</v>
      </c>
      <c r="B1295" s="49">
        <v>138.09569999999999</v>
      </c>
      <c r="C1295" s="50">
        <f t="shared" si="43"/>
        <v>45747</v>
      </c>
      <c r="D1295" s="51">
        <f t="shared" si="44"/>
        <v>139.79820000000001</v>
      </c>
      <c r="E1295" s="52"/>
      <c r="F1295" s="53"/>
    </row>
    <row r="1296" spans="1:6" x14ac:dyDescent="0.3">
      <c r="A1296" s="48">
        <v>45743</v>
      </c>
      <c r="B1296" s="49">
        <v>139.834</v>
      </c>
      <c r="C1296" s="50">
        <f t="shared" si="43"/>
        <v>45747</v>
      </c>
      <c r="D1296" s="51">
        <f t="shared" si="44"/>
        <v>139.79820000000001</v>
      </c>
      <c r="E1296" s="52"/>
      <c r="F1296" s="53"/>
    </row>
    <row r="1297" spans="1:6" x14ac:dyDescent="0.3">
      <c r="A1297" s="48">
        <v>45744</v>
      </c>
      <c r="B1297" s="49">
        <v>139.7799</v>
      </c>
      <c r="C1297" s="50">
        <f t="shared" si="43"/>
        <v>45747</v>
      </c>
      <c r="D1297" s="51">
        <f t="shared" si="44"/>
        <v>139.79820000000001</v>
      </c>
      <c r="E1297" s="52"/>
      <c r="F1297" s="53"/>
    </row>
    <row r="1298" spans="1:6" x14ac:dyDescent="0.3">
      <c r="A1298" s="48">
        <v>45747</v>
      </c>
      <c r="B1298" s="49">
        <v>139.79820000000001</v>
      </c>
      <c r="C1298" s="50">
        <f t="shared" si="43"/>
        <v>45747</v>
      </c>
      <c r="D1298" s="51">
        <f t="shared" si="44"/>
        <v>139.79820000000001</v>
      </c>
      <c r="E1298" s="52"/>
      <c r="F1298" s="53"/>
    </row>
    <row r="1299" spans="1:6" x14ac:dyDescent="0.3">
      <c r="A1299" s="48">
        <v>45748</v>
      </c>
      <c r="B1299" s="49">
        <v>138.77680000000001</v>
      </c>
      <c r="C1299" s="50">
        <f t="shared" si="43"/>
        <v>45777</v>
      </c>
      <c r="D1299" s="51">
        <f t="shared" si="44"/>
        <v>143.3409</v>
      </c>
      <c r="E1299" s="52"/>
      <c r="F1299" s="53"/>
    </row>
    <row r="1300" spans="1:6" x14ac:dyDescent="0.3">
      <c r="A1300" s="48">
        <v>45749</v>
      </c>
      <c r="B1300" s="49">
        <v>138.82919999999999</v>
      </c>
      <c r="C1300" s="50">
        <f t="shared" si="43"/>
        <v>45777</v>
      </c>
      <c r="D1300" s="51">
        <f t="shared" si="44"/>
        <v>143.3409</v>
      </c>
      <c r="E1300" s="52"/>
      <c r="F1300" s="53"/>
    </row>
    <row r="1301" spans="1:6" x14ac:dyDescent="0.3">
      <c r="A1301" s="48">
        <v>45750</v>
      </c>
      <c r="B1301" s="49">
        <v>138.61320000000001</v>
      </c>
      <c r="C1301" s="50">
        <f t="shared" si="43"/>
        <v>45777</v>
      </c>
      <c r="D1301" s="51">
        <f t="shared" si="44"/>
        <v>143.3409</v>
      </c>
      <c r="E1301" s="52"/>
      <c r="F1301" s="53"/>
    </row>
    <row r="1302" spans="1:6" x14ac:dyDescent="0.3">
      <c r="A1302" s="48">
        <v>45751</v>
      </c>
      <c r="B1302" s="49">
        <v>135.9102</v>
      </c>
      <c r="C1302" s="50">
        <f t="shared" si="43"/>
        <v>45777</v>
      </c>
      <c r="D1302" s="51">
        <f t="shared" si="44"/>
        <v>143.3409</v>
      </c>
      <c r="E1302" s="52"/>
      <c r="F1302" s="53"/>
    </row>
    <row r="1303" spans="1:6" x14ac:dyDescent="0.3">
      <c r="A1303" s="48">
        <v>45754</v>
      </c>
      <c r="B1303" s="49">
        <v>132.9238</v>
      </c>
      <c r="C1303" s="50">
        <f t="shared" si="43"/>
        <v>45777</v>
      </c>
      <c r="D1303" s="51">
        <f t="shared" si="44"/>
        <v>143.3409</v>
      </c>
      <c r="E1303" s="52"/>
      <c r="F1303" s="53"/>
    </row>
    <row r="1304" spans="1:6" x14ac:dyDescent="0.3">
      <c r="A1304" s="48">
        <v>45755</v>
      </c>
      <c r="B1304" s="49">
        <v>134.70590000000001</v>
      </c>
      <c r="C1304" s="50">
        <f t="shared" si="43"/>
        <v>45777</v>
      </c>
      <c r="D1304" s="51">
        <f t="shared" si="44"/>
        <v>143.3409</v>
      </c>
      <c r="E1304" s="52"/>
      <c r="F1304" s="53"/>
    </row>
    <row r="1305" spans="1:6" x14ac:dyDescent="0.3">
      <c r="A1305" s="48">
        <v>45756</v>
      </c>
      <c r="B1305" s="49">
        <v>134.20609999999999</v>
      </c>
      <c r="C1305" s="50">
        <f t="shared" si="43"/>
        <v>45777</v>
      </c>
      <c r="D1305" s="51">
        <f t="shared" si="44"/>
        <v>143.3409</v>
      </c>
      <c r="E1305" s="52"/>
      <c r="F1305" s="53"/>
    </row>
    <row r="1306" spans="1:6" x14ac:dyDescent="0.3">
      <c r="A1306" s="48">
        <v>45758</v>
      </c>
      <c r="B1306" s="49">
        <v>136.4503</v>
      </c>
      <c r="C1306" s="50">
        <f t="shared" si="43"/>
        <v>45777</v>
      </c>
      <c r="D1306" s="51">
        <f t="shared" si="44"/>
        <v>143.3409</v>
      </c>
      <c r="E1306" s="52"/>
      <c r="F1306" s="53"/>
    </row>
    <row r="1307" spans="1:6" x14ac:dyDescent="0.3">
      <c r="A1307" s="48">
        <v>45762</v>
      </c>
      <c r="B1307" s="49">
        <v>138.744</v>
      </c>
      <c r="C1307" s="50">
        <f t="shared" si="43"/>
        <v>45777</v>
      </c>
      <c r="D1307" s="51">
        <f t="shared" si="44"/>
        <v>143.3409</v>
      </c>
      <c r="E1307" s="52"/>
      <c r="F1307" s="53"/>
    </row>
    <row r="1308" spans="1:6" x14ac:dyDescent="0.3">
      <c r="A1308" s="48">
        <v>45763</v>
      </c>
      <c r="B1308" s="49">
        <v>139.3321</v>
      </c>
      <c r="C1308" s="50">
        <f t="shared" si="43"/>
        <v>45777</v>
      </c>
      <c r="D1308" s="51">
        <f t="shared" si="44"/>
        <v>143.3409</v>
      </c>
      <c r="E1308" s="52"/>
      <c r="F1308" s="53"/>
    </row>
    <row r="1309" spans="1:6" x14ac:dyDescent="0.3">
      <c r="A1309" s="48">
        <v>45764</v>
      </c>
      <c r="B1309" s="49">
        <v>140.8519</v>
      </c>
      <c r="C1309" s="50">
        <f t="shared" si="43"/>
        <v>45777</v>
      </c>
      <c r="D1309" s="51">
        <f t="shared" si="44"/>
        <v>143.3409</v>
      </c>
      <c r="E1309" s="52"/>
      <c r="F1309" s="53"/>
    </row>
    <row r="1310" spans="1:6" x14ac:dyDescent="0.3">
      <c r="A1310" s="48">
        <v>45768</v>
      </c>
      <c r="B1310" s="49">
        <v>142.28380000000001</v>
      </c>
      <c r="C1310" s="50">
        <f t="shared" si="43"/>
        <v>45777</v>
      </c>
      <c r="D1310" s="51">
        <f t="shared" si="44"/>
        <v>143.3409</v>
      </c>
      <c r="E1310" s="52"/>
      <c r="F1310" s="53"/>
    </row>
    <row r="1311" spans="1:6" x14ac:dyDescent="0.3">
      <c r="A1311" s="48">
        <v>45769</v>
      </c>
      <c r="B1311" s="49">
        <v>142.49590000000001</v>
      </c>
      <c r="C1311" s="50">
        <f t="shared" si="43"/>
        <v>45777</v>
      </c>
      <c r="D1311" s="51">
        <f t="shared" si="44"/>
        <v>143.3409</v>
      </c>
      <c r="E1311" s="52"/>
      <c r="F1311" s="53"/>
    </row>
    <row r="1312" spans="1:6" x14ac:dyDescent="0.3">
      <c r="A1312" s="48">
        <v>45770</v>
      </c>
      <c r="B1312" s="49">
        <v>143.74080000000001</v>
      </c>
      <c r="C1312" s="50">
        <f t="shared" si="43"/>
        <v>45777</v>
      </c>
      <c r="D1312" s="51">
        <f t="shared" si="44"/>
        <v>143.3409</v>
      </c>
      <c r="E1312" s="52"/>
      <c r="F1312" s="53"/>
    </row>
    <row r="1313" spans="1:6" x14ac:dyDescent="0.3">
      <c r="A1313" s="48">
        <v>45771</v>
      </c>
      <c r="B1313" s="49">
        <v>143.70060000000001</v>
      </c>
      <c r="C1313" s="50">
        <f t="shared" si="43"/>
        <v>45777</v>
      </c>
      <c r="D1313" s="51">
        <f t="shared" si="44"/>
        <v>143.3409</v>
      </c>
      <c r="E1313" s="52"/>
      <c r="F1313" s="53"/>
    </row>
    <row r="1314" spans="1:6" x14ac:dyDescent="0.3">
      <c r="A1314" s="48">
        <v>45772</v>
      </c>
      <c r="B1314" s="49">
        <v>141.90270000000001</v>
      </c>
      <c r="C1314" s="50">
        <f t="shared" si="43"/>
        <v>45777</v>
      </c>
      <c r="D1314" s="51">
        <f t="shared" si="44"/>
        <v>143.3409</v>
      </c>
      <c r="E1314" s="52"/>
      <c r="F1314" s="53"/>
    </row>
    <row r="1315" spans="1:6" x14ac:dyDescent="0.3">
      <c r="A1315" s="48">
        <v>45775</v>
      </c>
      <c r="B1315" s="49">
        <v>143.2441</v>
      </c>
      <c r="C1315" s="50">
        <f t="shared" si="43"/>
        <v>45777</v>
      </c>
      <c r="D1315" s="51">
        <f t="shared" si="44"/>
        <v>143.3409</v>
      </c>
      <c r="E1315" s="52"/>
      <c r="F1315" s="53"/>
    </row>
    <row r="1316" spans="1:6" x14ac:dyDescent="0.3">
      <c r="A1316" s="48">
        <v>45776</v>
      </c>
      <c r="B1316" s="49">
        <v>143.57490000000001</v>
      </c>
      <c r="C1316" s="50">
        <f t="shared" si="43"/>
        <v>45777</v>
      </c>
      <c r="D1316" s="51">
        <f t="shared" si="44"/>
        <v>143.3409</v>
      </c>
      <c r="E1316" s="52"/>
      <c r="F1316" s="53"/>
    </row>
    <row r="1317" spans="1:6" x14ac:dyDescent="0.3">
      <c r="A1317" s="48">
        <v>45777</v>
      </c>
      <c r="B1317" s="49">
        <v>143.3409</v>
      </c>
      <c r="C1317" s="50">
        <f t="shared" si="43"/>
        <v>45777</v>
      </c>
      <c r="D1317" s="51">
        <f t="shared" si="44"/>
        <v>143.3409</v>
      </c>
      <c r="E1317" s="52"/>
      <c r="F1317" s="53"/>
    </row>
    <row r="1318" spans="1:6" x14ac:dyDescent="0.3">
      <c r="A1318" s="48">
        <v>45779</v>
      </c>
      <c r="B1318" s="49">
        <v>143.31720000000001</v>
      </c>
      <c r="C1318" s="50">
        <f t="shared" si="43"/>
        <v>45808</v>
      </c>
      <c r="D1318" s="51">
        <f t="shared" si="44"/>
        <v>149.3261</v>
      </c>
      <c r="E1318" s="52"/>
      <c r="F1318" s="53"/>
    </row>
    <row r="1319" spans="1:6" x14ac:dyDescent="0.3">
      <c r="A1319" s="48">
        <v>45782</v>
      </c>
      <c r="B1319" s="49">
        <v>143.93950000000001</v>
      </c>
      <c r="C1319" s="50">
        <f t="shared" si="43"/>
        <v>45808</v>
      </c>
      <c r="D1319" s="51">
        <f t="shared" si="44"/>
        <v>149.3261</v>
      </c>
      <c r="E1319" s="52"/>
      <c r="F1319" s="53"/>
    </row>
    <row r="1320" spans="1:6" x14ac:dyDescent="0.3">
      <c r="A1320" s="48">
        <v>45783</v>
      </c>
      <c r="B1320" s="49">
        <v>142.6353</v>
      </c>
      <c r="C1320" s="50">
        <f t="shared" si="43"/>
        <v>45808</v>
      </c>
      <c r="D1320" s="51">
        <f t="shared" si="44"/>
        <v>149.3261</v>
      </c>
      <c r="E1320" s="52"/>
      <c r="F1320" s="53"/>
    </row>
    <row r="1321" spans="1:6" x14ac:dyDescent="0.3">
      <c r="A1321" s="48">
        <v>45784</v>
      </c>
      <c r="B1321" s="49">
        <v>142.74680000000001</v>
      </c>
      <c r="C1321" s="50">
        <f t="shared" si="43"/>
        <v>45808</v>
      </c>
      <c r="D1321" s="51">
        <f t="shared" si="44"/>
        <v>149.3261</v>
      </c>
      <c r="E1321" s="52"/>
      <c r="F1321" s="53"/>
    </row>
    <row r="1322" spans="1:6" x14ac:dyDescent="0.3">
      <c r="A1322" s="48">
        <v>45785</v>
      </c>
      <c r="B1322" s="49">
        <v>142.1139</v>
      </c>
      <c r="C1322" s="50">
        <f t="shared" si="43"/>
        <v>45808</v>
      </c>
      <c r="D1322" s="51">
        <f t="shared" si="44"/>
        <v>149.3261</v>
      </c>
      <c r="E1322" s="52"/>
      <c r="F1322" s="53"/>
    </row>
    <row r="1323" spans="1:6" x14ac:dyDescent="0.3">
      <c r="A1323" s="48">
        <v>45786</v>
      </c>
      <c r="B1323" s="49">
        <v>142.23840000000001</v>
      </c>
      <c r="C1323" s="50">
        <f t="shared" si="43"/>
        <v>45808</v>
      </c>
      <c r="D1323" s="51">
        <f t="shared" si="44"/>
        <v>149.3261</v>
      </c>
      <c r="E1323" s="52"/>
      <c r="F1323" s="53"/>
    </row>
    <row r="1324" spans="1:6" x14ac:dyDescent="0.3">
      <c r="A1324" s="48">
        <v>45789</v>
      </c>
      <c r="B1324" s="49">
        <v>145.0883</v>
      </c>
      <c r="C1324" s="50">
        <f t="shared" si="43"/>
        <v>45808</v>
      </c>
      <c r="D1324" s="51">
        <f t="shared" si="44"/>
        <v>149.3261</v>
      </c>
      <c r="E1324" s="52"/>
      <c r="F1324" s="53"/>
    </row>
    <row r="1325" spans="1:6" x14ac:dyDescent="0.3">
      <c r="A1325" s="48">
        <v>45790</v>
      </c>
      <c r="B1325" s="49">
        <v>145.8312</v>
      </c>
      <c r="C1325" s="50">
        <f t="shared" si="43"/>
        <v>45808</v>
      </c>
      <c r="D1325" s="51">
        <f t="shared" si="44"/>
        <v>149.3261</v>
      </c>
      <c r="E1325" s="52"/>
      <c r="F1325" s="53"/>
    </row>
    <row r="1326" spans="1:6" x14ac:dyDescent="0.3">
      <c r="A1326" s="48">
        <v>45791</v>
      </c>
      <c r="B1326" s="49">
        <v>145.8546</v>
      </c>
      <c r="C1326" s="50">
        <f t="shared" si="43"/>
        <v>45808</v>
      </c>
      <c r="D1326" s="51">
        <f t="shared" si="44"/>
        <v>149.3261</v>
      </c>
      <c r="E1326" s="52"/>
      <c r="F1326" s="53"/>
    </row>
    <row r="1327" spans="1:6" x14ac:dyDescent="0.3">
      <c r="A1327" s="48">
        <v>45792</v>
      </c>
      <c r="B1327" s="49">
        <v>146.5899</v>
      </c>
      <c r="C1327" s="50">
        <f t="shared" si="43"/>
        <v>45808</v>
      </c>
      <c r="D1327" s="51">
        <f t="shared" si="44"/>
        <v>149.3261</v>
      </c>
      <c r="E1327" s="52"/>
      <c r="F1327" s="53"/>
    </row>
    <row r="1328" spans="1:6" x14ac:dyDescent="0.3">
      <c r="A1328" s="48">
        <v>45793</v>
      </c>
      <c r="B1328" s="49">
        <v>147.94919999999999</v>
      </c>
      <c r="C1328" s="50">
        <f t="shared" si="43"/>
        <v>45808</v>
      </c>
      <c r="D1328" s="51">
        <f t="shared" si="44"/>
        <v>149.3261</v>
      </c>
      <c r="E1328" s="52"/>
      <c r="F1328" s="53"/>
    </row>
    <row r="1329" spans="1:6" x14ac:dyDescent="0.3">
      <c r="A1329" s="48">
        <v>45796</v>
      </c>
      <c r="B1329" s="49">
        <v>147.6326</v>
      </c>
      <c r="C1329" s="50">
        <f t="shared" si="43"/>
        <v>45808</v>
      </c>
      <c r="D1329" s="51">
        <f t="shared" si="44"/>
        <v>149.3261</v>
      </c>
      <c r="E1329" s="52"/>
      <c r="F1329" s="53"/>
    </row>
    <row r="1330" spans="1:6" x14ac:dyDescent="0.3">
      <c r="A1330" s="48">
        <v>45797</v>
      </c>
      <c r="B1330" s="49">
        <v>146.7561</v>
      </c>
      <c r="C1330" s="50">
        <f t="shared" si="43"/>
        <v>45808</v>
      </c>
      <c r="D1330" s="51">
        <f t="shared" si="44"/>
        <v>149.3261</v>
      </c>
      <c r="E1330" s="52"/>
      <c r="F1330" s="53"/>
    </row>
    <row r="1331" spans="1:6" x14ac:dyDescent="0.3">
      <c r="A1331" s="48">
        <v>45798</v>
      </c>
      <c r="B1331" s="49">
        <v>147.69810000000001</v>
      </c>
      <c r="C1331" s="50">
        <f t="shared" si="43"/>
        <v>45808</v>
      </c>
      <c r="D1331" s="51">
        <f t="shared" si="44"/>
        <v>149.3261</v>
      </c>
      <c r="E1331" s="52"/>
      <c r="F1331" s="53"/>
    </row>
    <row r="1332" spans="1:6" x14ac:dyDescent="0.3">
      <c r="A1332" s="48">
        <v>45799</v>
      </c>
      <c r="B1332" s="49">
        <v>147.44290000000001</v>
      </c>
      <c r="C1332" s="50">
        <f t="shared" si="43"/>
        <v>45808</v>
      </c>
      <c r="D1332" s="51">
        <f t="shared" si="44"/>
        <v>149.3261</v>
      </c>
      <c r="E1332" s="52"/>
      <c r="F1332" s="53"/>
    </row>
    <row r="1333" spans="1:6" x14ac:dyDescent="0.3">
      <c r="A1333" s="48">
        <v>45800</v>
      </c>
      <c r="B1333" s="49">
        <v>147.9425</v>
      </c>
      <c r="C1333" s="50">
        <f t="shared" si="43"/>
        <v>45808</v>
      </c>
      <c r="D1333" s="51">
        <f t="shared" si="44"/>
        <v>149.3261</v>
      </c>
      <c r="E1333" s="52"/>
      <c r="F1333" s="53"/>
    </row>
    <row r="1334" spans="1:6" x14ac:dyDescent="0.3">
      <c r="A1334" s="48">
        <v>45803</v>
      </c>
      <c r="B1334" s="49">
        <v>147.90979999999999</v>
      </c>
      <c r="C1334" s="50">
        <f t="shared" si="43"/>
        <v>45808</v>
      </c>
      <c r="D1334" s="51">
        <f t="shared" si="44"/>
        <v>149.3261</v>
      </c>
      <c r="E1334" s="52"/>
      <c r="F1334" s="53"/>
    </row>
    <row r="1335" spans="1:6" x14ac:dyDescent="0.3">
      <c r="A1335" s="48">
        <v>45804</v>
      </c>
      <c r="B1335" s="49">
        <v>148.2012</v>
      </c>
      <c r="C1335" s="50">
        <f t="shared" si="43"/>
        <v>45808</v>
      </c>
      <c r="D1335" s="51">
        <f t="shared" si="44"/>
        <v>149.3261</v>
      </c>
      <c r="E1335" s="52"/>
      <c r="F1335" s="53"/>
    </row>
    <row r="1336" spans="1:6" x14ac:dyDescent="0.3">
      <c r="A1336" s="48">
        <v>45805</v>
      </c>
      <c r="B1336" s="49">
        <v>149.21469999999999</v>
      </c>
      <c r="C1336" s="50">
        <f t="shared" si="43"/>
        <v>45808</v>
      </c>
      <c r="D1336" s="51">
        <f t="shared" si="44"/>
        <v>149.3261</v>
      </c>
      <c r="E1336" s="52"/>
      <c r="F1336" s="53"/>
    </row>
    <row r="1337" spans="1:6" x14ac:dyDescent="0.3">
      <c r="A1337" s="48">
        <v>45806</v>
      </c>
      <c r="B1337" s="49">
        <v>149.2714</v>
      </c>
      <c r="C1337" s="50">
        <f t="shared" si="43"/>
        <v>45808</v>
      </c>
      <c r="D1337" s="51">
        <f t="shared" si="44"/>
        <v>149.3261</v>
      </c>
      <c r="E1337" s="52"/>
      <c r="F1337" s="53"/>
    </row>
    <row r="1338" spans="1:6" x14ac:dyDescent="0.3">
      <c r="A1338" s="48">
        <v>45807</v>
      </c>
      <c r="B1338" s="49">
        <v>149.3261</v>
      </c>
      <c r="C1338" s="50">
        <f t="shared" si="43"/>
        <v>45808</v>
      </c>
      <c r="D1338" s="51">
        <f t="shared" si="44"/>
        <v>149.3261</v>
      </c>
      <c r="E1338" s="52"/>
      <c r="F1338" s="53"/>
    </row>
    <row r="1339" spans="1:6" x14ac:dyDescent="0.3">
      <c r="A1339" s="48">
        <v>45810</v>
      </c>
      <c r="B1339" s="49">
        <v>149.23519999999999</v>
      </c>
      <c r="C1339" s="50">
        <f t="shared" si="43"/>
        <v>45838</v>
      </c>
      <c r="D1339" s="51">
        <f t="shared" si="44"/>
        <v>153.0351</v>
      </c>
      <c r="E1339" s="52"/>
      <c r="F1339" s="53"/>
    </row>
    <row r="1340" spans="1:6" x14ac:dyDescent="0.3">
      <c r="A1340" s="48">
        <v>45811</v>
      </c>
      <c r="B1340" s="49">
        <v>149.06989999999999</v>
      </c>
      <c r="C1340" s="50">
        <f t="shared" si="43"/>
        <v>45838</v>
      </c>
      <c r="D1340" s="51">
        <f t="shared" si="44"/>
        <v>153.0351</v>
      </c>
      <c r="E1340" s="52"/>
      <c r="F1340" s="53"/>
    </row>
    <row r="1341" spans="1:6" x14ac:dyDescent="0.3">
      <c r="A1341" s="48">
        <v>45812</v>
      </c>
      <c r="B1341" s="49">
        <v>149.46029999999999</v>
      </c>
      <c r="C1341" s="50">
        <f t="shared" si="43"/>
        <v>45838</v>
      </c>
      <c r="D1341" s="51">
        <f t="shared" si="44"/>
        <v>153.0351</v>
      </c>
      <c r="E1341" s="52"/>
      <c r="F1341" s="53"/>
    </row>
    <row r="1342" spans="1:6" x14ac:dyDescent="0.3">
      <c r="A1342" s="48">
        <v>45813</v>
      </c>
      <c r="B1342" s="49">
        <v>150.3057</v>
      </c>
      <c r="C1342" s="50">
        <f t="shared" si="43"/>
        <v>45838</v>
      </c>
      <c r="D1342" s="51">
        <f t="shared" si="44"/>
        <v>153.0351</v>
      </c>
      <c r="E1342" s="52"/>
      <c r="F1342" s="53"/>
    </row>
    <row r="1343" spans="1:6" x14ac:dyDescent="0.3">
      <c r="A1343" s="48">
        <v>45814</v>
      </c>
      <c r="B1343" s="49">
        <v>151.21899999999999</v>
      </c>
      <c r="C1343" s="50">
        <f t="shared" si="43"/>
        <v>45838</v>
      </c>
      <c r="D1343" s="51">
        <f t="shared" si="44"/>
        <v>153.0351</v>
      </c>
      <c r="E1343" s="52"/>
      <c r="F1343" s="53"/>
    </row>
    <row r="1344" spans="1:6" x14ac:dyDescent="0.3">
      <c r="A1344" s="48">
        <v>45817</v>
      </c>
      <c r="B1344" s="49">
        <v>152.19049999999999</v>
      </c>
      <c r="C1344" s="50">
        <f t="shared" si="43"/>
        <v>45838</v>
      </c>
      <c r="D1344" s="51">
        <f t="shared" si="44"/>
        <v>153.0351</v>
      </c>
      <c r="E1344" s="52"/>
      <c r="F1344" s="53"/>
    </row>
    <row r="1345" spans="1:6" x14ac:dyDescent="0.3">
      <c r="A1345" s="48">
        <v>45818</v>
      </c>
      <c r="B1345" s="49">
        <v>152.23310000000001</v>
      </c>
      <c r="C1345" s="50">
        <f t="shared" si="43"/>
        <v>45838</v>
      </c>
      <c r="D1345" s="51">
        <f t="shared" si="44"/>
        <v>153.0351</v>
      </c>
      <c r="E1345" s="52"/>
      <c r="F1345" s="53"/>
    </row>
    <row r="1346" spans="1:6" x14ac:dyDescent="0.3">
      <c r="A1346" s="48">
        <v>45819</v>
      </c>
      <c r="B1346" s="49">
        <v>151.98240000000001</v>
      </c>
      <c r="C1346" s="50">
        <f t="shared" si="43"/>
        <v>45838</v>
      </c>
      <c r="D1346" s="51">
        <f t="shared" si="44"/>
        <v>153.0351</v>
      </c>
      <c r="E1346" s="52"/>
      <c r="F1346" s="53"/>
    </row>
    <row r="1347" spans="1:6" x14ac:dyDescent="0.3">
      <c r="A1347" s="48">
        <v>45820</v>
      </c>
      <c r="B1347" s="49">
        <v>150.4598</v>
      </c>
      <c r="C1347" s="50">
        <f t="shared" ref="C1347:C1410" si="45">EOMONTH(A1347,0)</f>
        <v>45838</v>
      </c>
      <c r="D1347" s="51">
        <f t="shared" ref="D1347:D1410" si="46">INDEX($B$3:$B$2001, MATCH($C1347, $A$3:$A$2001, 1))</f>
        <v>153.0351</v>
      </c>
      <c r="E1347" s="52"/>
      <c r="F1347" s="53"/>
    </row>
    <row r="1348" spans="1:6" x14ac:dyDescent="0.3">
      <c r="A1348" s="48">
        <v>45821</v>
      </c>
      <c r="B1348" s="49">
        <v>150.12020000000001</v>
      </c>
      <c r="C1348" s="50">
        <f t="shared" si="45"/>
        <v>45838</v>
      </c>
      <c r="D1348" s="51">
        <f t="shared" si="46"/>
        <v>153.0351</v>
      </c>
      <c r="E1348" s="52"/>
      <c r="F1348" s="53"/>
    </row>
    <row r="1349" spans="1:6" x14ac:dyDescent="0.3">
      <c r="A1349" s="48">
        <v>45824</v>
      </c>
      <c r="B1349" s="49">
        <v>150.8382</v>
      </c>
      <c r="C1349" s="50">
        <f t="shared" si="45"/>
        <v>45838</v>
      </c>
      <c r="D1349" s="51">
        <f t="shared" si="46"/>
        <v>153.0351</v>
      </c>
      <c r="E1349" s="52"/>
      <c r="F1349" s="53"/>
    </row>
    <row r="1350" spans="1:6" x14ac:dyDescent="0.3">
      <c r="A1350" s="48">
        <v>45825</v>
      </c>
      <c r="B1350" s="49">
        <v>150.46960000000001</v>
      </c>
      <c r="C1350" s="50">
        <f t="shared" si="45"/>
        <v>45838</v>
      </c>
      <c r="D1350" s="51">
        <f t="shared" si="46"/>
        <v>153.0351</v>
      </c>
      <c r="E1350" s="52"/>
      <c r="F1350" s="53"/>
    </row>
    <row r="1351" spans="1:6" x14ac:dyDescent="0.3">
      <c r="A1351" s="48">
        <v>45826</v>
      </c>
      <c r="B1351" s="49">
        <v>150.4786</v>
      </c>
      <c r="C1351" s="50">
        <f t="shared" si="45"/>
        <v>45838</v>
      </c>
      <c r="D1351" s="51">
        <f t="shared" si="46"/>
        <v>153.0351</v>
      </c>
      <c r="E1351" s="52"/>
      <c r="F1351" s="53"/>
    </row>
    <row r="1352" spans="1:6" x14ac:dyDescent="0.3">
      <c r="A1352" s="48">
        <v>45827</v>
      </c>
      <c r="B1352" s="49">
        <v>149.38050000000001</v>
      </c>
      <c r="C1352" s="50">
        <f t="shared" si="45"/>
        <v>45838</v>
      </c>
      <c r="D1352" s="51">
        <f t="shared" si="46"/>
        <v>153.0351</v>
      </c>
      <c r="E1352" s="52"/>
      <c r="F1352" s="53"/>
    </row>
    <row r="1353" spans="1:6" x14ac:dyDescent="0.3">
      <c r="A1353" s="48">
        <v>45828</v>
      </c>
      <c r="B1353" s="49">
        <v>150.72210000000001</v>
      </c>
      <c r="C1353" s="50">
        <f t="shared" si="45"/>
        <v>45838</v>
      </c>
      <c r="D1353" s="51">
        <f t="shared" si="46"/>
        <v>153.0351</v>
      </c>
      <c r="E1353" s="52"/>
      <c r="F1353" s="53"/>
    </row>
    <row r="1354" spans="1:6" x14ac:dyDescent="0.3">
      <c r="A1354" s="48">
        <v>45831</v>
      </c>
      <c r="B1354" s="49">
        <v>150.62280000000001</v>
      </c>
      <c r="C1354" s="50">
        <f t="shared" si="45"/>
        <v>45838</v>
      </c>
      <c r="D1354" s="51">
        <f t="shared" si="46"/>
        <v>153.0351</v>
      </c>
      <c r="E1354" s="52"/>
      <c r="F1354" s="53"/>
    </row>
    <row r="1355" spans="1:6" x14ac:dyDescent="0.3">
      <c r="A1355" s="48">
        <v>45832</v>
      </c>
      <c r="B1355" s="49">
        <v>150.90710000000001</v>
      </c>
      <c r="C1355" s="50">
        <f t="shared" si="45"/>
        <v>45838</v>
      </c>
      <c r="D1355" s="51">
        <f t="shared" si="46"/>
        <v>153.0351</v>
      </c>
      <c r="E1355" s="52"/>
      <c r="F1355" s="53"/>
    </row>
    <row r="1356" spans="1:6" x14ac:dyDescent="0.3">
      <c r="A1356" s="48">
        <v>45833</v>
      </c>
      <c r="B1356" s="49">
        <v>150.9837</v>
      </c>
      <c r="C1356" s="50">
        <f t="shared" si="45"/>
        <v>45838</v>
      </c>
      <c r="D1356" s="51">
        <f t="shared" si="46"/>
        <v>153.0351</v>
      </c>
      <c r="E1356" s="52"/>
      <c r="F1356" s="53"/>
    </row>
    <row r="1357" spans="1:6" x14ac:dyDescent="0.3">
      <c r="A1357" s="48">
        <v>45834</v>
      </c>
      <c r="B1357" s="49">
        <v>152.39490000000001</v>
      </c>
      <c r="C1357" s="50">
        <f t="shared" si="45"/>
        <v>45838</v>
      </c>
      <c r="D1357" s="51">
        <f t="shared" si="46"/>
        <v>153.0351</v>
      </c>
      <c r="E1357" s="52"/>
      <c r="F1357" s="53"/>
    </row>
    <row r="1358" spans="1:6" x14ac:dyDescent="0.3">
      <c r="A1358" s="48">
        <v>45835</v>
      </c>
      <c r="B1358" s="49">
        <v>152.4855</v>
      </c>
      <c r="C1358" s="50">
        <f t="shared" si="45"/>
        <v>45838</v>
      </c>
      <c r="D1358" s="51">
        <f t="shared" si="46"/>
        <v>153.0351</v>
      </c>
      <c r="E1358" s="52"/>
      <c r="F1358" s="53"/>
    </row>
    <row r="1359" spans="1:6" x14ac:dyDescent="0.3">
      <c r="A1359" s="48">
        <v>45838</v>
      </c>
      <c r="B1359" s="49">
        <v>153.0351</v>
      </c>
      <c r="C1359" s="50">
        <f t="shared" si="45"/>
        <v>45838</v>
      </c>
      <c r="D1359" s="51">
        <f t="shared" si="46"/>
        <v>153.0351</v>
      </c>
      <c r="E1359" s="52"/>
      <c r="F1359" s="53"/>
    </row>
    <row r="1360" spans="1:6" x14ac:dyDescent="0.3">
      <c r="A1360" s="48">
        <v>45839</v>
      </c>
      <c r="B1360" s="49">
        <v>153.33879999999999</v>
      </c>
      <c r="C1360" s="50">
        <f t="shared" si="45"/>
        <v>45869</v>
      </c>
      <c r="D1360" s="51">
        <f t="shared" si="46"/>
        <v>151.7141</v>
      </c>
      <c r="E1360" s="52"/>
      <c r="F1360" s="53"/>
    </row>
    <row r="1361" spans="1:6" x14ac:dyDescent="0.3">
      <c r="A1361" s="48">
        <v>45840</v>
      </c>
      <c r="B1361" s="49">
        <v>152.57040000000001</v>
      </c>
      <c r="C1361" s="50">
        <f t="shared" si="45"/>
        <v>45869</v>
      </c>
      <c r="D1361" s="51">
        <f t="shared" si="46"/>
        <v>151.7141</v>
      </c>
      <c r="E1361" s="52"/>
      <c r="F1361" s="53"/>
    </row>
    <row r="1362" spans="1:6" x14ac:dyDescent="0.3">
      <c r="A1362" s="48">
        <v>45841</v>
      </c>
      <c r="B1362" s="49">
        <v>152.59950000000001</v>
      </c>
      <c r="C1362" s="50">
        <f t="shared" si="45"/>
        <v>45869</v>
      </c>
      <c r="D1362" s="51">
        <f t="shared" si="46"/>
        <v>151.7141</v>
      </c>
      <c r="E1362" s="52"/>
      <c r="F1362" s="53"/>
    </row>
    <row r="1363" spans="1:6" x14ac:dyDescent="0.3">
      <c r="A1363" s="48">
        <v>45842</v>
      </c>
      <c r="B1363" s="49">
        <v>153.06200000000001</v>
      </c>
      <c r="C1363" s="50">
        <f t="shared" si="45"/>
        <v>45869</v>
      </c>
      <c r="D1363" s="51">
        <f t="shared" si="46"/>
        <v>151.7141</v>
      </c>
      <c r="E1363" s="52"/>
      <c r="F1363" s="53"/>
    </row>
    <row r="1364" spans="1:6" x14ac:dyDescent="0.3">
      <c r="A1364" s="48">
        <v>45845</v>
      </c>
      <c r="B1364" s="49">
        <v>153.09440000000001</v>
      </c>
      <c r="C1364" s="50">
        <f t="shared" si="45"/>
        <v>45869</v>
      </c>
      <c r="D1364" s="51">
        <f t="shared" si="46"/>
        <v>151.7141</v>
      </c>
      <c r="E1364" s="52"/>
      <c r="F1364" s="53"/>
    </row>
    <row r="1365" spans="1:6" x14ac:dyDescent="0.3">
      <c r="A1365" s="48">
        <v>45846</v>
      </c>
      <c r="B1365" s="49">
        <v>153.6337</v>
      </c>
      <c r="C1365" s="50">
        <f t="shared" si="45"/>
        <v>45869</v>
      </c>
      <c r="D1365" s="51">
        <f t="shared" si="46"/>
        <v>151.7141</v>
      </c>
      <c r="E1365" s="52"/>
      <c r="F1365" s="53"/>
    </row>
    <row r="1366" spans="1:6" x14ac:dyDescent="0.3">
      <c r="A1366" s="48">
        <v>45847</v>
      </c>
      <c r="B1366" s="49">
        <v>153.47190000000001</v>
      </c>
      <c r="C1366" s="50">
        <f t="shared" si="45"/>
        <v>45869</v>
      </c>
      <c r="D1366" s="51">
        <f t="shared" si="46"/>
        <v>151.7141</v>
      </c>
      <c r="E1366" s="52"/>
      <c r="F1366" s="53"/>
    </row>
    <row r="1367" spans="1:6" x14ac:dyDescent="0.3">
      <c r="A1367" s="48">
        <v>45848</v>
      </c>
      <c r="B1367" s="49">
        <v>153.56460000000001</v>
      </c>
      <c r="C1367" s="50">
        <f t="shared" si="45"/>
        <v>45869</v>
      </c>
      <c r="D1367" s="51">
        <f t="shared" si="46"/>
        <v>151.7141</v>
      </c>
      <c r="E1367" s="52"/>
      <c r="F1367" s="53"/>
    </row>
    <row r="1368" spans="1:6" x14ac:dyDescent="0.3">
      <c r="A1368" s="48">
        <v>45849</v>
      </c>
      <c r="B1368" s="49">
        <v>153.30539999999999</v>
      </c>
      <c r="C1368" s="50">
        <f t="shared" si="45"/>
        <v>45869</v>
      </c>
      <c r="D1368" s="51">
        <f t="shared" si="46"/>
        <v>151.7141</v>
      </c>
      <c r="E1368" s="52"/>
      <c r="F1368" s="53"/>
    </row>
    <row r="1369" spans="1:6" x14ac:dyDescent="0.3">
      <c r="A1369" s="48">
        <v>45852</v>
      </c>
      <c r="B1369" s="49">
        <v>153.5778</v>
      </c>
      <c r="C1369" s="50">
        <f t="shared" si="45"/>
        <v>45869</v>
      </c>
      <c r="D1369" s="51">
        <f t="shared" si="46"/>
        <v>151.7141</v>
      </c>
      <c r="E1369" s="52"/>
      <c r="F1369" s="53"/>
    </row>
    <row r="1370" spans="1:6" x14ac:dyDescent="0.3">
      <c r="A1370" s="48">
        <v>45853</v>
      </c>
      <c r="B1370" s="49">
        <v>153.34229999999999</v>
      </c>
      <c r="C1370" s="50">
        <f t="shared" si="45"/>
        <v>45869</v>
      </c>
      <c r="D1370" s="51">
        <f t="shared" si="46"/>
        <v>151.7141</v>
      </c>
      <c r="E1370" s="52"/>
      <c r="F1370" s="53"/>
    </row>
    <row r="1371" spans="1:6" x14ac:dyDescent="0.3">
      <c r="A1371" s="48">
        <v>45854</v>
      </c>
      <c r="B1371" s="49">
        <v>153.41319999999999</v>
      </c>
      <c r="C1371" s="50">
        <f t="shared" si="45"/>
        <v>45869</v>
      </c>
      <c r="D1371" s="51">
        <f t="shared" si="46"/>
        <v>151.7141</v>
      </c>
      <c r="E1371" s="52"/>
      <c r="F1371" s="53"/>
    </row>
    <row r="1372" spans="1:6" x14ac:dyDescent="0.3">
      <c r="A1372" s="48">
        <v>45855</v>
      </c>
      <c r="B1372" s="49">
        <v>153.32210000000001</v>
      </c>
      <c r="C1372" s="50">
        <f t="shared" si="45"/>
        <v>45869</v>
      </c>
      <c r="D1372" s="51">
        <f t="shared" si="46"/>
        <v>151.7141</v>
      </c>
      <c r="E1372" s="52"/>
      <c r="F1372" s="53"/>
    </row>
    <row r="1373" spans="1:6" x14ac:dyDescent="0.3">
      <c r="A1373" s="48">
        <v>45856</v>
      </c>
      <c r="B1373" s="49">
        <v>153.11949999999999</v>
      </c>
      <c r="C1373" s="50">
        <f t="shared" si="45"/>
        <v>45869</v>
      </c>
      <c r="D1373" s="51">
        <f t="shared" si="46"/>
        <v>151.7141</v>
      </c>
      <c r="E1373" s="52"/>
      <c r="F1373" s="53"/>
    </row>
    <row r="1374" spans="1:6" x14ac:dyDescent="0.3">
      <c r="A1374" s="48">
        <v>45859</v>
      </c>
      <c r="B1374" s="49">
        <v>153.30269999999999</v>
      </c>
      <c r="C1374" s="50">
        <f t="shared" si="45"/>
        <v>45869</v>
      </c>
      <c r="D1374" s="51">
        <f t="shared" si="46"/>
        <v>151.7141</v>
      </c>
      <c r="E1374" s="52"/>
      <c r="F1374" s="53"/>
    </row>
    <row r="1375" spans="1:6" x14ac:dyDescent="0.3">
      <c r="A1375" s="48">
        <v>45860</v>
      </c>
      <c r="B1375" s="49">
        <v>152.75970000000001</v>
      </c>
      <c r="C1375" s="50">
        <f t="shared" si="45"/>
        <v>45869</v>
      </c>
      <c r="D1375" s="51">
        <f t="shared" si="46"/>
        <v>151.7141</v>
      </c>
      <c r="E1375" s="52"/>
      <c r="F1375" s="53"/>
    </row>
    <row r="1376" spans="1:6" x14ac:dyDescent="0.3">
      <c r="A1376" s="48">
        <v>45861</v>
      </c>
      <c r="B1376" s="49">
        <v>153.78039999999999</v>
      </c>
      <c r="C1376" s="50">
        <f t="shared" si="45"/>
        <v>45869</v>
      </c>
      <c r="D1376" s="51">
        <f t="shared" si="46"/>
        <v>151.7141</v>
      </c>
      <c r="E1376" s="52"/>
      <c r="F1376" s="53"/>
    </row>
    <row r="1377" spans="1:6" x14ac:dyDescent="0.3">
      <c r="A1377" s="48">
        <v>45862</v>
      </c>
      <c r="B1377" s="49">
        <v>153.34700000000001</v>
      </c>
      <c r="C1377" s="50">
        <f t="shared" si="45"/>
        <v>45869</v>
      </c>
      <c r="D1377" s="51">
        <f t="shared" si="46"/>
        <v>151.7141</v>
      </c>
      <c r="E1377" s="52"/>
      <c r="F1377" s="53"/>
    </row>
    <row r="1378" spans="1:6" x14ac:dyDescent="0.3">
      <c r="A1378" s="48">
        <v>45863</v>
      </c>
      <c r="B1378" s="49">
        <v>152.61940000000001</v>
      </c>
      <c r="C1378" s="50">
        <f t="shared" si="45"/>
        <v>45869</v>
      </c>
      <c r="D1378" s="51">
        <f t="shared" si="46"/>
        <v>151.7141</v>
      </c>
      <c r="E1378" s="52"/>
      <c r="F1378" s="53"/>
    </row>
    <row r="1379" spans="1:6" x14ac:dyDescent="0.3">
      <c r="A1379" s="48">
        <v>45866</v>
      </c>
      <c r="B1379" s="49">
        <v>151.66999999999999</v>
      </c>
      <c r="C1379" s="50">
        <f t="shared" si="45"/>
        <v>45869</v>
      </c>
      <c r="D1379" s="51">
        <f t="shared" si="46"/>
        <v>151.7141</v>
      </c>
      <c r="E1379" s="52"/>
      <c r="F1379" s="53"/>
    </row>
    <row r="1380" spans="1:6" x14ac:dyDescent="0.3">
      <c r="A1380" s="48">
        <v>45867</v>
      </c>
      <c r="B1380" s="49">
        <v>152.51150000000001</v>
      </c>
      <c r="C1380" s="50">
        <f t="shared" si="45"/>
        <v>45869</v>
      </c>
      <c r="D1380" s="51">
        <f t="shared" si="46"/>
        <v>151.7141</v>
      </c>
      <c r="E1380" s="52"/>
      <c r="F1380" s="53"/>
    </row>
    <row r="1381" spans="1:6" x14ac:dyDescent="0.3">
      <c r="A1381" s="48">
        <v>45868</v>
      </c>
      <c r="B1381" s="49">
        <v>152.642</v>
      </c>
      <c r="C1381" s="50">
        <f t="shared" si="45"/>
        <v>45869</v>
      </c>
      <c r="D1381" s="51">
        <f t="shared" si="46"/>
        <v>151.7141</v>
      </c>
      <c r="E1381" s="52"/>
      <c r="F1381" s="53"/>
    </row>
    <row r="1382" spans="1:6" x14ac:dyDescent="0.3">
      <c r="A1382" s="48">
        <v>45869</v>
      </c>
      <c r="B1382" s="49">
        <v>151.7141</v>
      </c>
      <c r="C1382" s="50">
        <f t="shared" si="45"/>
        <v>45869</v>
      </c>
      <c r="D1382" s="51">
        <f t="shared" si="46"/>
        <v>151.7141</v>
      </c>
      <c r="E1382" s="52"/>
      <c r="F1382" s="53"/>
    </row>
    <row r="1383" spans="1:6" x14ac:dyDescent="0.3">
      <c r="A1383" s="48">
        <v>45870</v>
      </c>
      <c r="B1383" s="49">
        <v>150.809</v>
      </c>
      <c r="C1383" s="50">
        <f t="shared" si="45"/>
        <v>45900</v>
      </c>
      <c r="D1383" s="51">
        <f t="shared" si="46"/>
        <v>150.69710000000001</v>
      </c>
      <c r="E1383" s="52"/>
      <c r="F1383" s="53"/>
    </row>
    <row r="1384" spans="1:6" x14ac:dyDescent="0.3">
      <c r="A1384" s="48">
        <v>45873</v>
      </c>
      <c r="B1384" s="49">
        <v>151.87129999999999</v>
      </c>
      <c r="C1384" s="50">
        <f t="shared" si="45"/>
        <v>45900</v>
      </c>
      <c r="D1384" s="51">
        <f t="shared" si="46"/>
        <v>150.69710000000001</v>
      </c>
      <c r="E1384" s="52"/>
      <c r="F1384" s="53"/>
    </row>
    <row r="1385" spans="1:6" x14ac:dyDescent="0.3">
      <c r="A1385" s="48">
        <v>45874</v>
      </c>
      <c r="B1385" s="49">
        <v>151.43389999999999</v>
      </c>
      <c r="C1385" s="50">
        <f t="shared" si="45"/>
        <v>45900</v>
      </c>
      <c r="D1385" s="51">
        <f t="shared" si="46"/>
        <v>150.69710000000001</v>
      </c>
      <c r="E1385" s="52"/>
      <c r="F1385" s="53"/>
    </row>
    <row r="1386" spans="1:6" x14ac:dyDescent="0.3">
      <c r="A1386" s="48">
        <v>45875</v>
      </c>
      <c r="B1386" s="49">
        <v>151.37909999999999</v>
      </c>
      <c r="C1386" s="50">
        <f t="shared" si="45"/>
        <v>45900</v>
      </c>
      <c r="D1386" s="51">
        <f t="shared" si="46"/>
        <v>150.69710000000001</v>
      </c>
      <c r="E1386" s="52"/>
      <c r="F1386" s="53"/>
    </row>
    <row r="1387" spans="1:6" x14ac:dyDescent="0.3">
      <c r="A1387" s="48">
        <v>45876</v>
      </c>
      <c r="B1387" s="49">
        <v>151.26740000000001</v>
      </c>
      <c r="C1387" s="50">
        <f t="shared" si="45"/>
        <v>45900</v>
      </c>
      <c r="D1387" s="51">
        <f t="shared" si="46"/>
        <v>150.69710000000001</v>
      </c>
      <c r="E1387" s="52"/>
      <c r="F1387" s="53"/>
    </row>
    <row r="1388" spans="1:6" x14ac:dyDescent="0.3">
      <c r="A1388" s="48">
        <v>45877</v>
      </c>
      <c r="B1388" s="49">
        <v>151.0735</v>
      </c>
      <c r="C1388" s="50">
        <f t="shared" si="45"/>
        <v>45900</v>
      </c>
      <c r="D1388" s="51">
        <f t="shared" si="46"/>
        <v>150.69710000000001</v>
      </c>
      <c r="E1388" s="52"/>
      <c r="F1388" s="53"/>
    </row>
    <row r="1389" spans="1:6" x14ac:dyDescent="0.3">
      <c r="A1389" s="48">
        <v>45880</v>
      </c>
      <c r="B1389" s="49">
        <v>151.88310000000001</v>
      </c>
      <c r="C1389" s="50">
        <f t="shared" si="45"/>
        <v>45900</v>
      </c>
      <c r="D1389" s="51">
        <f t="shared" si="46"/>
        <v>150.69710000000001</v>
      </c>
      <c r="E1389" s="52"/>
      <c r="F1389" s="53"/>
    </row>
    <row r="1390" spans="1:6" x14ac:dyDescent="0.3">
      <c r="A1390" s="48">
        <v>45881</v>
      </c>
      <c r="B1390" s="49">
        <v>151.8741</v>
      </c>
      <c r="C1390" s="50">
        <f t="shared" si="45"/>
        <v>45900</v>
      </c>
      <c r="D1390" s="51">
        <f t="shared" si="46"/>
        <v>150.69710000000001</v>
      </c>
      <c r="E1390" s="52"/>
      <c r="F1390" s="53"/>
    </row>
    <row r="1391" spans="1:6" x14ac:dyDescent="0.3">
      <c r="A1391" s="48">
        <v>45882</v>
      </c>
      <c r="B1391" s="49">
        <v>152.08269999999999</v>
      </c>
      <c r="C1391" s="50">
        <f t="shared" si="45"/>
        <v>45900</v>
      </c>
      <c r="D1391" s="51">
        <f t="shared" si="46"/>
        <v>150.69710000000001</v>
      </c>
      <c r="E1391" s="52"/>
      <c r="F1391" s="53"/>
    </row>
    <row r="1392" spans="1:6" x14ac:dyDescent="0.3">
      <c r="A1392" s="48">
        <v>45883</v>
      </c>
      <c r="B1392" s="49">
        <v>151.7474</v>
      </c>
      <c r="C1392" s="50">
        <f t="shared" si="45"/>
        <v>45900</v>
      </c>
      <c r="D1392" s="51">
        <f t="shared" si="46"/>
        <v>150.69710000000001</v>
      </c>
      <c r="E1392" s="52"/>
      <c r="F1392" s="53"/>
    </row>
    <row r="1393" spans="1:6" x14ac:dyDescent="0.3">
      <c r="A1393" s="48">
        <v>45887</v>
      </c>
      <c r="B1393" s="49">
        <v>152.1036</v>
      </c>
      <c r="C1393" s="50">
        <f t="shared" si="45"/>
        <v>45900</v>
      </c>
      <c r="D1393" s="51">
        <f t="shared" si="46"/>
        <v>150.69710000000001</v>
      </c>
      <c r="E1393" s="52"/>
      <c r="F1393" s="53"/>
    </row>
    <row r="1394" spans="1:6" x14ac:dyDescent="0.3">
      <c r="A1394" s="48">
        <v>45888</v>
      </c>
      <c r="B1394" s="49">
        <v>152.88990000000001</v>
      </c>
      <c r="C1394" s="50">
        <f t="shared" si="45"/>
        <v>45900</v>
      </c>
      <c r="D1394" s="51">
        <f t="shared" si="46"/>
        <v>150.69710000000001</v>
      </c>
      <c r="E1394" s="52"/>
      <c r="F1394" s="53"/>
    </row>
    <row r="1395" spans="1:6" x14ac:dyDescent="0.3">
      <c r="A1395" s="48">
        <v>45889</v>
      </c>
      <c r="B1395" s="49">
        <v>152.4922</v>
      </c>
      <c r="C1395" s="50">
        <f t="shared" si="45"/>
        <v>45900</v>
      </c>
      <c r="D1395" s="51">
        <f t="shared" si="46"/>
        <v>150.69710000000001</v>
      </c>
      <c r="E1395" s="52"/>
      <c r="F1395" s="53"/>
    </row>
    <row r="1396" spans="1:6" x14ac:dyDescent="0.3">
      <c r="A1396" s="48">
        <v>45890</v>
      </c>
      <c r="B1396" s="49">
        <v>152.5641</v>
      </c>
      <c r="C1396" s="50">
        <f t="shared" si="45"/>
        <v>45900</v>
      </c>
      <c r="D1396" s="51">
        <f t="shared" si="46"/>
        <v>150.69710000000001</v>
      </c>
      <c r="E1396" s="52"/>
      <c r="F1396" s="53"/>
    </row>
    <row r="1397" spans="1:6" x14ac:dyDescent="0.3">
      <c r="A1397" s="48">
        <v>45891</v>
      </c>
      <c r="B1397" s="49">
        <v>152.0324</v>
      </c>
      <c r="C1397" s="50">
        <f t="shared" si="45"/>
        <v>45900</v>
      </c>
      <c r="D1397" s="51">
        <f t="shared" si="46"/>
        <v>150.69710000000001</v>
      </c>
      <c r="E1397" s="52"/>
      <c r="F1397" s="53"/>
    </row>
    <row r="1398" spans="1:6" x14ac:dyDescent="0.3">
      <c r="A1398" s="48">
        <v>45894</v>
      </c>
      <c r="B1398" s="49">
        <v>152.20699999999999</v>
      </c>
      <c r="C1398" s="50">
        <f t="shared" si="45"/>
        <v>45900</v>
      </c>
      <c r="D1398" s="51">
        <f t="shared" si="46"/>
        <v>150.69710000000001</v>
      </c>
      <c r="E1398" s="52"/>
      <c r="F1398" s="53"/>
    </row>
    <row r="1399" spans="1:6" x14ac:dyDescent="0.3">
      <c r="A1399" s="48">
        <v>45895</v>
      </c>
      <c r="B1399" s="49">
        <v>151.3673</v>
      </c>
      <c r="C1399" s="50">
        <f t="shared" si="45"/>
        <v>45900</v>
      </c>
      <c r="D1399" s="51">
        <f t="shared" si="46"/>
        <v>150.69710000000001</v>
      </c>
      <c r="E1399" s="52"/>
      <c r="F1399" s="53"/>
    </row>
    <row r="1400" spans="1:6" x14ac:dyDescent="0.3">
      <c r="A1400" s="48">
        <v>45897</v>
      </c>
      <c r="B1400" s="49">
        <v>150.82919999999999</v>
      </c>
      <c r="C1400" s="50">
        <f t="shared" si="45"/>
        <v>45900</v>
      </c>
      <c r="D1400" s="51">
        <f t="shared" si="46"/>
        <v>150.69710000000001</v>
      </c>
      <c r="E1400" s="52"/>
      <c r="F1400" s="53"/>
    </row>
    <row r="1401" spans="1:6" x14ac:dyDescent="0.3">
      <c r="A1401" s="48">
        <v>45898</v>
      </c>
      <c r="B1401" s="49">
        <v>150.69710000000001</v>
      </c>
      <c r="C1401" s="50">
        <f t="shared" si="45"/>
        <v>45900</v>
      </c>
      <c r="D1401" s="51">
        <f t="shared" si="46"/>
        <v>150.69710000000001</v>
      </c>
      <c r="E1401" s="52"/>
      <c r="F1401" s="53"/>
    </row>
    <row r="1402" spans="1:6" x14ac:dyDescent="0.3">
      <c r="A1402" s="48">
        <v>45901</v>
      </c>
      <c r="B1402" s="49">
        <v>152.98859999999999</v>
      </c>
      <c r="C1402" s="50">
        <f t="shared" si="45"/>
        <v>45930</v>
      </c>
      <c r="D1402" s="51">
        <f t="shared" si="46"/>
        <v>156.14330000000001</v>
      </c>
      <c r="E1402" s="52"/>
      <c r="F1402" s="53"/>
    </row>
    <row r="1403" spans="1:6" x14ac:dyDescent="0.3">
      <c r="A1403" s="48">
        <v>45902</v>
      </c>
      <c r="B1403" s="49">
        <v>152.75810000000001</v>
      </c>
      <c r="C1403" s="50">
        <f t="shared" si="45"/>
        <v>45930</v>
      </c>
      <c r="D1403" s="51">
        <f t="shared" si="46"/>
        <v>156.14330000000001</v>
      </c>
      <c r="E1403" s="52"/>
      <c r="F1403" s="53"/>
    </row>
    <row r="1404" spans="1:6" x14ac:dyDescent="0.3">
      <c r="A1404" s="48">
        <v>45903</v>
      </c>
      <c r="B1404" s="49">
        <v>153.55940000000001</v>
      </c>
      <c r="C1404" s="50">
        <f t="shared" si="45"/>
        <v>45930</v>
      </c>
      <c r="D1404" s="51">
        <f t="shared" si="46"/>
        <v>156.14330000000001</v>
      </c>
      <c r="E1404" s="52"/>
      <c r="F1404" s="53"/>
    </row>
    <row r="1405" spans="1:6" x14ac:dyDescent="0.3">
      <c r="A1405" s="48">
        <v>45904</v>
      </c>
      <c r="B1405" s="49">
        <v>153.05549999999999</v>
      </c>
      <c r="C1405" s="50">
        <f t="shared" si="45"/>
        <v>45930</v>
      </c>
      <c r="D1405" s="51">
        <f t="shared" si="46"/>
        <v>156.14330000000001</v>
      </c>
      <c r="E1405" s="52"/>
      <c r="F1405" s="53"/>
    </row>
    <row r="1406" spans="1:6" x14ac:dyDescent="0.3">
      <c r="A1406" s="48">
        <v>45905</v>
      </c>
      <c r="B1406" s="49">
        <v>152.88310000000001</v>
      </c>
      <c r="C1406" s="50">
        <f t="shared" si="45"/>
        <v>45930</v>
      </c>
      <c r="D1406" s="51">
        <f t="shared" si="46"/>
        <v>156.14330000000001</v>
      </c>
      <c r="E1406" s="52"/>
      <c r="F1406" s="53"/>
    </row>
    <row r="1407" spans="1:6" x14ac:dyDescent="0.3">
      <c r="A1407" s="48">
        <v>45908</v>
      </c>
      <c r="B1407" s="49">
        <v>153.36859999999999</v>
      </c>
      <c r="C1407" s="50">
        <f t="shared" si="45"/>
        <v>45930</v>
      </c>
      <c r="D1407" s="51">
        <f t="shared" si="46"/>
        <v>156.14330000000001</v>
      </c>
      <c r="E1407" s="52"/>
      <c r="F1407" s="53"/>
    </row>
    <row r="1408" spans="1:6" x14ac:dyDescent="0.3">
      <c r="A1408" s="48">
        <v>45909</v>
      </c>
      <c r="B1408" s="49">
        <v>153.54759999999999</v>
      </c>
      <c r="C1408" s="50">
        <f t="shared" si="45"/>
        <v>45930</v>
      </c>
      <c r="D1408" s="51">
        <f t="shared" si="46"/>
        <v>156.14330000000001</v>
      </c>
      <c r="E1408" s="52"/>
      <c r="F1408" s="53"/>
    </row>
    <row r="1409" spans="1:6" x14ac:dyDescent="0.3">
      <c r="A1409" s="48">
        <v>45910</v>
      </c>
      <c r="B1409" s="49">
        <v>154.20930000000001</v>
      </c>
      <c r="C1409" s="50">
        <f t="shared" si="45"/>
        <v>45930</v>
      </c>
      <c r="D1409" s="51">
        <f t="shared" si="46"/>
        <v>156.14330000000001</v>
      </c>
      <c r="E1409" s="52"/>
      <c r="F1409" s="53"/>
    </row>
    <row r="1410" spans="1:6" x14ac:dyDescent="0.3">
      <c r="A1410" s="48">
        <v>45911</v>
      </c>
      <c r="B1410" s="49">
        <v>154.4708</v>
      </c>
      <c r="C1410" s="50">
        <f t="shared" si="45"/>
        <v>45930</v>
      </c>
      <c r="D1410" s="51">
        <f t="shared" si="46"/>
        <v>156.14330000000001</v>
      </c>
      <c r="E1410" s="52"/>
      <c r="F1410" s="53"/>
    </row>
    <row r="1411" spans="1:6" x14ac:dyDescent="0.3">
      <c r="A1411" s="48">
        <v>45912</v>
      </c>
      <c r="B1411" s="49">
        <v>155.13200000000001</v>
      </c>
      <c r="C1411" s="50">
        <f t="shared" ref="C1411:C1449" si="47">EOMONTH(A1411,0)</f>
        <v>45930</v>
      </c>
      <c r="D1411" s="51">
        <f t="shared" ref="D1411:D1449" si="48">INDEX($B$3:$B$2001, MATCH($C1411, $A$3:$A$2001, 1))</f>
        <v>156.14330000000001</v>
      </c>
      <c r="E1411" s="52"/>
      <c r="F1411" s="53"/>
    </row>
    <row r="1412" spans="1:6" x14ac:dyDescent="0.3">
      <c r="A1412" s="48">
        <v>45915</v>
      </c>
      <c r="B1412" s="49">
        <v>155.4811</v>
      </c>
      <c r="C1412" s="50">
        <f t="shared" si="47"/>
        <v>45930</v>
      </c>
      <c r="D1412" s="51">
        <f t="shared" si="48"/>
        <v>156.14330000000001</v>
      </c>
      <c r="E1412" s="52"/>
      <c r="F1412" s="53"/>
    </row>
    <row r="1413" spans="1:6" x14ac:dyDescent="0.3">
      <c r="A1413" s="48">
        <v>45916</v>
      </c>
      <c r="B1413" s="49">
        <v>156.4392</v>
      </c>
      <c r="C1413" s="50">
        <f t="shared" si="47"/>
        <v>45930</v>
      </c>
      <c r="D1413" s="51">
        <f t="shared" si="48"/>
        <v>156.14330000000001</v>
      </c>
      <c r="E1413" s="52"/>
      <c r="F1413" s="53"/>
    </row>
    <row r="1414" spans="1:6" x14ac:dyDescent="0.3">
      <c r="A1414" s="48">
        <v>45917</v>
      </c>
      <c r="B1414" s="49">
        <v>156.49090000000001</v>
      </c>
      <c r="C1414" s="50">
        <f t="shared" si="47"/>
        <v>45930</v>
      </c>
      <c r="D1414" s="51">
        <f t="shared" si="48"/>
        <v>156.14330000000001</v>
      </c>
      <c r="E1414" s="52"/>
      <c r="F1414" s="53"/>
    </row>
    <row r="1415" spans="1:6" x14ac:dyDescent="0.3">
      <c r="A1415" s="48">
        <v>45918</v>
      </c>
      <c r="B1415" s="49">
        <v>156.68190000000001</v>
      </c>
      <c r="C1415" s="50">
        <f t="shared" si="47"/>
        <v>45930</v>
      </c>
      <c r="D1415" s="51">
        <f t="shared" si="48"/>
        <v>156.14330000000001</v>
      </c>
      <c r="E1415" s="52"/>
      <c r="F1415" s="53"/>
    </row>
    <row r="1416" spans="1:6" x14ac:dyDescent="0.3">
      <c r="A1416" s="48">
        <v>45919</v>
      </c>
      <c r="B1416" s="49">
        <v>156.80940000000001</v>
      </c>
      <c r="C1416" s="50">
        <f t="shared" si="47"/>
        <v>45930</v>
      </c>
      <c r="D1416" s="51">
        <f t="shared" si="48"/>
        <v>156.14330000000001</v>
      </c>
      <c r="E1416" s="52"/>
      <c r="F1416" s="53"/>
    </row>
    <row r="1417" spans="1:6" x14ac:dyDescent="0.3">
      <c r="A1417" s="48">
        <v>45922</v>
      </c>
      <c r="B1417" s="49">
        <v>156.76660000000001</v>
      </c>
      <c r="C1417" s="50">
        <f t="shared" si="47"/>
        <v>45930</v>
      </c>
      <c r="D1417" s="51">
        <f t="shared" si="48"/>
        <v>156.14330000000001</v>
      </c>
      <c r="E1417" s="52"/>
      <c r="F1417" s="53"/>
    </row>
    <row r="1418" spans="1:6" x14ac:dyDescent="0.3">
      <c r="A1418" s="48">
        <v>45923</v>
      </c>
      <c r="B1418" s="49">
        <v>156.64769999999999</v>
      </c>
      <c r="C1418" s="50">
        <f t="shared" si="47"/>
        <v>45930</v>
      </c>
      <c r="D1418" s="51">
        <f t="shared" si="48"/>
        <v>156.14330000000001</v>
      </c>
      <c r="E1418" s="52"/>
      <c r="F1418" s="53"/>
    </row>
    <row r="1419" spans="1:6" x14ac:dyDescent="0.3">
      <c r="A1419" s="48">
        <v>45924</v>
      </c>
      <c r="B1419" s="49">
        <v>156.46729999999999</v>
      </c>
      <c r="C1419" s="50">
        <f t="shared" si="47"/>
        <v>45930</v>
      </c>
      <c r="D1419" s="51">
        <f t="shared" si="48"/>
        <v>156.14330000000001</v>
      </c>
      <c r="E1419" s="52"/>
      <c r="F1419" s="53"/>
    </row>
    <row r="1420" spans="1:6" x14ac:dyDescent="0.3">
      <c r="A1420" s="48">
        <v>45925</v>
      </c>
      <c r="B1420" s="49">
        <v>156.28530000000001</v>
      </c>
      <c r="C1420" s="50">
        <f t="shared" si="47"/>
        <v>45930</v>
      </c>
      <c r="D1420" s="51">
        <f t="shared" si="48"/>
        <v>156.14330000000001</v>
      </c>
      <c r="E1420" s="52"/>
      <c r="F1420" s="53"/>
    </row>
    <row r="1421" spans="1:6" x14ac:dyDescent="0.3">
      <c r="A1421" s="48">
        <v>45926</v>
      </c>
      <c r="B1421" s="49">
        <v>155.7159</v>
      </c>
      <c r="C1421" s="50">
        <f t="shared" si="47"/>
        <v>45930</v>
      </c>
      <c r="D1421" s="51">
        <f t="shared" si="48"/>
        <v>156.14330000000001</v>
      </c>
      <c r="E1421" s="52"/>
      <c r="F1421" s="53"/>
    </row>
    <row r="1422" spans="1:6" x14ac:dyDescent="0.3">
      <c r="A1422" s="48">
        <v>45929</v>
      </c>
      <c r="B1422" s="49">
        <v>156.7259</v>
      </c>
      <c r="C1422" s="50">
        <f t="shared" si="47"/>
        <v>45930</v>
      </c>
      <c r="D1422" s="51">
        <f t="shared" si="48"/>
        <v>156.14330000000001</v>
      </c>
      <c r="E1422" s="52"/>
      <c r="F1422" s="53"/>
    </row>
    <row r="1423" spans="1:6" x14ac:dyDescent="0.3">
      <c r="A1423" s="48">
        <v>45930</v>
      </c>
      <c r="B1423" s="49">
        <v>156.14330000000001</v>
      </c>
      <c r="C1423" s="50">
        <f t="shared" si="47"/>
        <v>45930</v>
      </c>
      <c r="D1423" s="51">
        <f t="shared" si="48"/>
        <v>156.14330000000001</v>
      </c>
      <c r="E1423" s="52"/>
      <c r="F1423" s="53"/>
    </row>
    <row r="1424" spans="1:6" x14ac:dyDescent="0.3">
      <c r="A1424" s="48">
        <v>45931</v>
      </c>
      <c r="B1424" s="49">
        <v>157.15649999999999</v>
      </c>
      <c r="C1424" s="50">
        <f t="shared" si="47"/>
        <v>45961</v>
      </c>
      <c r="D1424" s="51">
        <f t="shared" si="48"/>
        <v>162.8732</v>
      </c>
      <c r="E1424" s="52"/>
      <c r="F1424" s="53"/>
    </row>
    <row r="1425" spans="1:6" x14ac:dyDescent="0.3">
      <c r="A1425" s="48">
        <v>45933</v>
      </c>
      <c r="B1425" s="49">
        <v>157.6456</v>
      </c>
      <c r="C1425" s="50">
        <f t="shared" si="47"/>
        <v>45961</v>
      </c>
      <c r="D1425" s="51">
        <f t="shared" si="48"/>
        <v>162.8732</v>
      </c>
      <c r="E1425" s="52"/>
      <c r="F1425" s="53"/>
    </row>
    <row r="1426" spans="1:6" x14ac:dyDescent="0.3">
      <c r="A1426" s="48">
        <v>45936</v>
      </c>
      <c r="B1426" s="49">
        <v>158.42660000000001</v>
      </c>
      <c r="C1426" s="50">
        <f t="shared" si="47"/>
        <v>45961</v>
      </c>
      <c r="D1426" s="51">
        <f t="shared" si="48"/>
        <v>162.8732</v>
      </c>
      <c r="E1426" s="52"/>
      <c r="F1426" s="53"/>
    </row>
    <row r="1427" spans="1:6" x14ac:dyDescent="0.3">
      <c r="A1427" s="48">
        <v>45937</v>
      </c>
      <c r="B1427" s="49">
        <v>158.21619999999999</v>
      </c>
      <c r="C1427" s="50">
        <f t="shared" si="47"/>
        <v>45961</v>
      </c>
      <c r="D1427" s="51">
        <f t="shared" si="48"/>
        <v>162.8732</v>
      </c>
      <c r="E1427" s="52"/>
      <c r="F1427" s="53"/>
    </row>
    <row r="1428" spans="1:6" x14ac:dyDescent="0.3">
      <c r="A1428" s="48">
        <v>45938</v>
      </c>
      <c r="B1428" s="49">
        <v>158.44239999999999</v>
      </c>
      <c r="C1428" s="50">
        <f t="shared" si="47"/>
        <v>45961</v>
      </c>
      <c r="D1428" s="51">
        <f t="shared" si="48"/>
        <v>162.8732</v>
      </c>
      <c r="E1428" s="52"/>
      <c r="F1428" s="53"/>
    </row>
    <row r="1429" spans="1:6" x14ac:dyDescent="0.3">
      <c r="A1429" s="48">
        <v>45939</v>
      </c>
      <c r="B1429" s="49">
        <v>159.77500000000001</v>
      </c>
      <c r="C1429" s="50">
        <f t="shared" si="47"/>
        <v>45961</v>
      </c>
      <c r="D1429" s="51">
        <f t="shared" si="48"/>
        <v>162.8732</v>
      </c>
      <c r="E1429" s="52"/>
      <c r="F1429" s="53"/>
    </row>
    <row r="1430" spans="1:6" x14ac:dyDescent="0.3">
      <c r="A1430" s="48">
        <v>45940</v>
      </c>
      <c r="B1430" s="49">
        <v>160.0909</v>
      </c>
      <c r="C1430" s="50">
        <f t="shared" si="47"/>
        <v>45961</v>
      </c>
      <c r="D1430" s="51">
        <f t="shared" si="48"/>
        <v>162.8732</v>
      </c>
      <c r="E1430" s="52"/>
      <c r="F1430" s="53"/>
    </row>
    <row r="1431" spans="1:6" x14ac:dyDescent="0.3">
      <c r="A1431" s="48">
        <v>45943</v>
      </c>
      <c r="B1431" s="49">
        <v>161.3698</v>
      </c>
      <c r="C1431" s="50">
        <f t="shared" si="47"/>
        <v>45961</v>
      </c>
      <c r="D1431" s="51">
        <f t="shared" si="48"/>
        <v>162.8732</v>
      </c>
      <c r="E1431" s="52"/>
      <c r="F1431" s="53"/>
    </row>
    <row r="1432" spans="1:6" x14ac:dyDescent="0.3">
      <c r="A1432" s="48">
        <v>45944</v>
      </c>
      <c r="B1432" s="49">
        <v>162.57390000000001</v>
      </c>
      <c r="C1432" s="50">
        <f t="shared" si="47"/>
        <v>45961</v>
      </c>
      <c r="D1432" s="51">
        <f t="shared" si="48"/>
        <v>162.8732</v>
      </c>
      <c r="E1432" s="52"/>
      <c r="F1432" s="53"/>
    </row>
    <row r="1433" spans="1:6" x14ac:dyDescent="0.3">
      <c r="A1433" s="48">
        <v>45945</v>
      </c>
      <c r="B1433" s="49">
        <v>162.7527</v>
      </c>
      <c r="C1433" s="50">
        <f t="shared" si="47"/>
        <v>45961</v>
      </c>
      <c r="D1433" s="51">
        <f t="shared" si="48"/>
        <v>162.8732</v>
      </c>
      <c r="E1433" s="52"/>
      <c r="F1433" s="53"/>
    </row>
    <row r="1434" spans="1:6" x14ac:dyDescent="0.3">
      <c r="A1434" s="48">
        <v>45946</v>
      </c>
      <c r="B1434" s="49">
        <v>161.804</v>
      </c>
      <c r="C1434" s="50">
        <f t="shared" si="47"/>
        <v>45961</v>
      </c>
      <c r="D1434" s="51">
        <f t="shared" si="48"/>
        <v>162.8732</v>
      </c>
      <c r="E1434" s="52"/>
      <c r="F1434" s="53"/>
    </row>
    <row r="1435" spans="1:6" x14ac:dyDescent="0.3">
      <c r="A1435" s="48">
        <v>45947</v>
      </c>
      <c r="B1435" s="49">
        <v>162.33070000000001</v>
      </c>
      <c r="C1435" s="50">
        <f t="shared" si="47"/>
        <v>45961</v>
      </c>
      <c r="D1435" s="51">
        <f t="shared" si="48"/>
        <v>162.8732</v>
      </c>
      <c r="E1435" s="52"/>
      <c r="F1435" s="53"/>
    </row>
    <row r="1436" spans="1:6" x14ac:dyDescent="0.3">
      <c r="A1436" s="48">
        <v>45950</v>
      </c>
      <c r="B1436" s="49">
        <v>162.21279999999999</v>
      </c>
      <c r="C1436" s="50">
        <f t="shared" si="47"/>
        <v>45961</v>
      </c>
      <c r="D1436" s="51">
        <f t="shared" si="48"/>
        <v>162.8732</v>
      </c>
      <c r="E1436" s="52"/>
      <c r="F1436" s="53"/>
    </row>
    <row r="1437" spans="1:6" x14ac:dyDescent="0.3">
      <c r="A1437" s="48">
        <v>45953</v>
      </c>
      <c r="B1437" s="49">
        <v>161.8586</v>
      </c>
      <c r="C1437" s="50">
        <f t="shared" si="47"/>
        <v>45961</v>
      </c>
      <c r="D1437" s="51">
        <f t="shared" si="48"/>
        <v>162.8732</v>
      </c>
      <c r="E1437" s="52"/>
      <c r="F1437" s="53"/>
    </row>
    <row r="1438" spans="1:6" x14ac:dyDescent="0.3">
      <c r="A1438" s="48">
        <v>45954</v>
      </c>
      <c r="B1438" s="49">
        <v>161.1551</v>
      </c>
      <c r="C1438" s="50">
        <f t="shared" si="47"/>
        <v>45961</v>
      </c>
      <c r="D1438" s="51">
        <f t="shared" si="48"/>
        <v>162.8732</v>
      </c>
      <c r="E1438" s="52"/>
      <c r="F1438" s="53"/>
    </row>
    <row r="1439" spans="1:6" x14ac:dyDescent="0.3">
      <c r="A1439" s="48">
        <v>45957</v>
      </c>
      <c r="B1439" s="49">
        <v>162.29150000000001</v>
      </c>
      <c r="C1439" s="50">
        <f t="shared" si="47"/>
        <v>45961</v>
      </c>
      <c r="D1439" s="51">
        <f t="shared" si="48"/>
        <v>162.8732</v>
      </c>
      <c r="E1439" s="52"/>
      <c r="F1439" s="53"/>
    </row>
    <row r="1440" spans="1:6" x14ac:dyDescent="0.3">
      <c r="A1440" s="48">
        <v>45958</v>
      </c>
      <c r="B1440" s="49">
        <v>161.90719999999999</v>
      </c>
      <c r="C1440" s="50">
        <f t="shared" si="47"/>
        <v>45961</v>
      </c>
      <c r="D1440" s="51">
        <f t="shared" si="48"/>
        <v>162.8732</v>
      </c>
      <c r="E1440" s="52"/>
      <c r="F1440" s="53"/>
    </row>
    <row r="1441" spans="1:6" x14ac:dyDescent="0.3">
      <c r="A1441" s="48">
        <v>45959</v>
      </c>
      <c r="B1441" s="49">
        <v>163.44390000000001</v>
      </c>
      <c r="C1441" s="50">
        <f t="shared" si="47"/>
        <v>45961</v>
      </c>
      <c r="D1441" s="51">
        <f t="shared" si="48"/>
        <v>162.8732</v>
      </c>
      <c r="E1441" s="52"/>
      <c r="F1441" s="53"/>
    </row>
    <row r="1442" spans="1:6" x14ac:dyDescent="0.3">
      <c r="A1442" s="48">
        <v>45960</v>
      </c>
      <c r="B1442" s="49">
        <v>162.90809999999999</v>
      </c>
      <c r="C1442" s="50">
        <f t="shared" si="47"/>
        <v>45961</v>
      </c>
      <c r="D1442" s="51">
        <f t="shared" si="48"/>
        <v>162.8732</v>
      </c>
      <c r="E1442" s="52"/>
      <c r="F1442" s="53"/>
    </row>
    <row r="1443" spans="1:6" x14ac:dyDescent="0.3">
      <c r="A1443" s="48">
        <v>45961</v>
      </c>
      <c r="B1443" s="49">
        <v>162.8732</v>
      </c>
      <c r="C1443" s="50">
        <f t="shared" si="47"/>
        <v>45961</v>
      </c>
      <c r="D1443" s="51">
        <f t="shared" si="48"/>
        <v>162.8732</v>
      </c>
      <c r="E1443" s="52"/>
      <c r="F1443" s="53"/>
    </row>
    <row r="1444" spans="1:6" x14ac:dyDescent="0.3">
      <c r="A1444" s="48">
        <v>45964</v>
      </c>
      <c r="B1444" s="49">
        <v>163.02440000000001</v>
      </c>
      <c r="C1444" s="50">
        <f t="shared" si="47"/>
        <v>45991</v>
      </c>
      <c r="D1444" s="51">
        <f t="shared" si="48"/>
        <v>163.46700000000001</v>
      </c>
      <c r="E1444" s="52"/>
      <c r="F1444" s="53"/>
    </row>
    <row r="1445" spans="1:6" x14ac:dyDescent="0.3">
      <c r="A1445" s="48">
        <v>45965</v>
      </c>
      <c r="B1445" s="49">
        <v>162.09209999999999</v>
      </c>
      <c r="C1445" s="50">
        <f t="shared" si="47"/>
        <v>45991</v>
      </c>
      <c r="D1445" s="51">
        <f t="shared" si="48"/>
        <v>163.46700000000001</v>
      </c>
      <c r="E1445" s="52"/>
      <c r="F1445" s="53"/>
    </row>
    <row r="1446" spans="1:6" x14ac:dyDescent="0.3">
      <c r="A1446" s="48">
        <v>45967</v>
      </c>
      <c r="B1446" s="49">
        <v>161.6344</v>
      </c>
      <c r="C1446" s="50">
        <f t="shared" si="47"/>
        <v>45991</v>
      </c>
      <c r="D1446" s="51">
        <f t="shared" si="48"/>
        <v>163.46700000000001</v>
      </c>
      <c r="E1446" s="52"/>
      <c r="F1446" s="53"/>
    </row>
    <row r="1447" spans="1:6" x14ac:dyDescent="0.3">
      <c r="A1447" s="48">
        <v>45968</v>
      </c>
      <c r="B1447" s="49">
        <v>162.30629999999999</v>
      </c>
      <c r="C1447" s="50">
        <f t="shared" si="47"/>
        <v>45991</v>
      </c>
      <c r="D1447" s="51">
        <f t="shared" si="48"/>
        <v>163.46700000000001</v>
      </c>
      <c r="E1447" s="52"/>
      <c r="F1447" s="53"/>
    </row>
    <row r="1448" spans="1:6" x14ac:dyDescent="0.3">
      <c r="A1448" s="48">
        <v>45971</v>
      </c>
      <c r="B1448" s="49">
        <v>162.7594</v>
      </c>
      <c r="C1448" s="50">
        <f t="shared" si="47"/>
        <v>45991</v>
      </c>
      <c r="D1448" s="51">
        <f t="shared" si="48"/>
        <v>163.46700000000001</v>
      </c>
      <c r="E1448" s="52"/>
      <c r="F1448" s="53"/>
    </row>
    <row r="1449" spans="1:6" x14ac:dyDescent="0.3">
      <c r="A1449" s="48">
        <v>45972</v>
      </c>
      <c r="B1449" s="49">
        <v>163.46700000000001</v>
      </c>
      <c r="C1449" s="50">
        <f t="shared" si="47"/>
        <v>45991</v>
      </c>
      <c r="D1449" s="51">
        <f t="shared" si="48"/>
        <v>163.46700000000001</v>
      </c>
      <c r="E1449" s="52"/>
      <c r="F1449" s="53"/>
    </row>
  </sheetData>
  <mergeCells count="1">
    <mergeCell ref="A1:F1"/>
  </mergeCells>
  <conditionalFormatting sqref="A1:A1048576">
    <cfRule type="duplicateValues" dxfId="7" priority="3"/>
  </conditionalFormatting>
  <conditionalFormatting sqref="A1450:A1048576 A2:A662">
    <cfRule type="duplicateValues" dxfId="6" priority="4"/>
  </conditionalFormatting>
  <conditionalFormatting sqref="D2:F2">
    <cfRule type="duplicateValues" dxfId="5" priority="1"/>
    <cfRule type="duplicateValues" dxfId="4" priority="2"/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32"/>
  <sheetViews>
    <sheetView workbookViewId="0">
      <selection activeCell="J10" sqref="J10"/>
    </sheetView>
  </sheetViews>
  <sheetFormatPr defaultRowHeight="14.4" x14ac:dyDescent="0.3"/>
  <cols>
    <col min="1" max="1" width="10.33203125" bestFit="1" customWidth="1"/>
    <col min="2" max="5" width="9" bestFit="1" customWidth="1"/>
    <col min="6" max="6" width="4.33203125" bestFit="1" customWidth="1"/>
    <col min="7" max="7" width="9.21875" bestFit="1" customWidth="1"/>
  </cols>
  <sheetData>
    <row r="1" spans="1:7" x14ac:dyDescent="0.3">
      <c r="A1" s="1" t="s">
        <v>60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</row>
    <row r="2" spans="1:7" x14ac:dyDescent="0.3">
      <c r="A2" s="54">
        <v>43831</v>
      </c>
      <c r="B2" s="45">
        <v>14843.29</v>
      </c>
      <c r="C2" s="45">
        <v>14843.29</v>
      </c>
      <c r="D2" s="45">
        <v>14843.29</v>
      </c>
      <c r="E2" s="45">
        <v>14843.29</v>
      </c>
      <c r="F2" s="18"/>
      <c r="G2" s="22">
        <v>1.6000000000000001E-3</v>
      </c>
    </row>
    <row r="3" spans="1:7" x14ac:dyDescent="0.3">
      <c r="A3" s="54">
        <v>43832</v>
      </c>
      <c r="B3" s="45">
        <v>14980.54</v>
      </c>
      <c r="C3" s="45">
        <v>14980.54</v>
      </c>
      <c r="D3" s="45">
        <v>14980.54</v>
      </c>
      <c r="E3" s="45">
        <v>14980.54</v>
      </c>
      <c r="F3" s="18"/>
      <c r="G3" s="22">
        <v>9.1999999999999998E-3</v>
      </c>
    </row>
    <row r="4" spans="1:7" x14ac:dyDescent="0.3">
      <c r="A4" s="54">
        <v>43833</v>
      </c>
      <c r="B4" s="45">
        <v>14922.99</v>
      </c>
      <c r="C4" s="45">
        <v>14922.99</v>
      </c>
      <c r="D4" s="45">
        <v>14922.99</v>
      </c>
      <c r="E4" s="45">
        <v>14922.99</v>
      </c>
      <c r="F4" s="18"/>
      <c r="G4" s="22">
        <v>-3.8E-3</v>
      </c>
    </row>
    <row r="5" spans="1:7" x14ac:dyDescent="0.3">
      <c r="A5" s="54">
        <v>43836</v>
      </c>
      <c r="B5" s="45">
        <v>14631.41</v>
      </c>
      <c r="C5" s="45">
        <v>14631.41</v>
      </c>
      <c r="D5" s="45">
        <v>14631.41</v>
      </c>
      <c r="E5" s="45">
        <v>14631.41</v>
      </c>
      <c r="F5" s="18"/>
      <c r="G5" s="22">
        <v>-1.95E-2</v>
      </c>
    </row>
    <row r="6" spans="1:7" x14ac:dyDescent="0.3">
      <c r="A6" s="54">
        <v>43837</v>
      </c>
      <c r="B6" s="45">
        <v>14718.47</v>
      </c>
      <c r="C6" s="45">
        <v>14718.47</v>
      </c>
      <c r="D6" s="45">
        <v>14718.47</v>
      </c>
      <c r="E6" s="45">
        <v>14718.47</v>
      </c>
      <c r="F6" s="18"/>
      <c r="G6" s="22">
        <v>6.0000000000000001E-3</v>
      </c>
    </row>
    <row r="7" spans="1:7" x14ac:dyDescent="0.3">
      <c r="A7" s="54">
        <v>43838</v>
      </c>
      <c r="B7" s="45">
        <v>14698.65</v>
      </c>
      <c r="C7" s="45">
        <v>14698.65</v>
      </c>
      <c r="D7" s="45">
        <v>14698.65</v>
      </c>
      <c r="E7" s="45">
        <v>14698.65</v>
      </c>
      <c r="F7" s="18"/>
      <c r="G7" s="22">
        <v>-1.2999999999999999E-3</v>
      </c>
    </row>
    <row r="8" spans="1:7" x14ac:dyDescent="0.3">
      <c r="A8" s="54">
        <v>43839</v>
      </c>
      <c r="B8" s="45">
        <v>14926.45</v>
      </c>
      <c r="C8" s="45">
        <v>14926.45</v>
      </c>
      <c r="D8" s="45">
        <v>14926.45</v>
      </c>
      <c r="E8" s="45">
        <v>14926.45</v>
      </c>
      <c r="F8" s="18"/>
      <c r="G8" s="22">
        <v>1.55E-2</v>
      </c>
    </row>
    <row r="9" spans="1:7" x14ac:dyDescent="0.3">
      <c r="A9" s="54">
        <v>43840</v>
      </c>
      <c r="B9" s="45">
        <v>14977.61</v>
      </c>
      <c r="C9" s="45">
        <v>14977.61</v>
      </c>
      <c r="D9" s="45">
        <v>14977.61</v>
      </c>
      <c r="E9" s="45">
        <v>14977.61</v>
      </c>
      <c r="F9" s="18"/>
      <c r="G9" s="22">
        <v>3.3999999999999998E-3</v>
      </c>
    </row>
    <row r="10" spans="1:7" x14ac:dyDescent="0.3">
      <c r="A10" s="54">
        <v>43843</v>
      </c>
      <c r="B10" s="45">
        <v>15074.41</v>
      </c>
      <c r="C10" s="45">
        <v>15074.41</v>
      </c>
      <c r="D10" s="45">
        <v>15074.41</v>
      </c>
      <c r="E10" s="45">
        <v>15074.41</v>
      </c>
      <c r="F10" s="18"/>
      <c r="G10" s="22">
        <v>6.4999999999999997E-3</v>
      </c>
    </row>
    <row r="11" spans="1:7" x14ac:dyDescent="0.3">
      <c r="A11" s="54">
        <v>43844</v>
      </c>
      <c r="B11" s="45">
        <v>15124.47</v>
      </c>
      <c r="C11" s="45">
        <v>15124.47</v>
      </c>
      <c r="D11" s="45">
        <v>15124.47</v>
      </c>
      <c r="E11" s="45">
        <v>15124.47</v>
      </c>
      <c r="F11" s="18"/>
      <c r="G11" s="22">
        <v>3.3E-3</v>
      </c>
    </row>
    <row r="12" spans="1:7" x14ac:dyDescent="0.3">
      <c r="A12" s="54">
        <v>43845</v>
      </c>
      <c r="B12" s="45">
        <v>15141.31</v>
      </c>
      <c r="C12" s="45">
        <v>15141.31</v>
      </c>
      <c r="D12" s="45">
        <v>15141.31</v>
      </c>
      <c r="E12" s="45">
        <v>15141.31</v>
      </c>
      <c r="F12" s="18"/>
      <c r="G12" s="22">
        <v>1.1000000000000001E-3</v>
      </c>
    </row>
    <row r="13" spans="1:7" x14ac:dyDescent="0.3">
      <c r="A13" s="54">
        <v>43846</v>
      </c>
      <c r="B13" s="45">
        <v>15175.81</v>
      </c>
      <c r="C13" s="45">
        <v>15175.81</v>
      </c>
      <c r="D13" s="45">
        <v>15175.81</v>
      </c>
      <c r="E13" s="45">
        <v>15175.81</v>
      </c>
      <c r="F13" s="18"/>
      <c r="G13" s="22">
        <v>2.3E-3</v>
      </c>
    </row>
    <row r="14" spans="1:7" x14ac:dyDescent="0.3">
      <c r="A14" s="54">
        <v>43847</v>
      </c>
      <c r="B14" s="45">
        <v>15188.79</v>
      </c>
      <c r="C14" s="45">
        <v>15188.79</v>
      </c>
      <c r="D14" s="45">
        <v>15188.79</v>
      </c>
      <c r="E14" s="45">
        <v>15188.79</v>
      </c>
      <c r="F14" s="18"/>
      <c r="G14" s="22">
        <v>8.9999999999999998E-4</v>
      </c>
    </row>
    <row r="15" spans="1:7" x14ac:dyDescent="0.3">
      <c r="A15" s="54">
        <v>43850</v>
      </c>
      <c r="B15" s="45">
        <v>15049.24</v>
      </c>
      <c r="C15" s="45">
        <v>15049.24</v>
      </c>
      <c r="D15" s="45">
        <v>15049.24</v>
      </c>
      <c r="E15" s="45">
        <v>15049.24</v>
      </c>
      <c r="F15" s="18"/>
      <c r="G15" s="22">
        <v>-9.1999999999999998E-3</v>
      </c>
    </row>
    <row r="16" spans="1:7" x14ac:dyDescent="0.3">
      <c r="A16" s="54">
        <v>43851</v>
      </c>
      <c r="B16" s="45">
        <v>14991.99</v>
      </c>
      <c r="C16" s="45">
        <v>14991.99</v>
      </c>
      <c r="D16" s="45">
        <v>14991.99</v>
      </c>
      <c r="E16" s="45">
        <v>14991.99</v>
      </c>
      <c r="F16" s="18"/>
      <c r="G16" s="22">
        <v>-3.8E-3</v>
      </c>
    </row>
    <row r="17" spans="1:7" x14ac:dyDescent="0.3">
      <c r="A17" s="54">
        <v>43852</v>
      </c>
      <c r="B17" s="45">
        <v>14931.11</v>
      </c>
      <c r="C17" s="45">
        <v>14931.11</v>
      </c>
      <c r="D17" s="45">
        <v>14931.11</v>
      </c>
      <c r="E17" s="45">
        <v>14931.11</v>
      </c>
      <c r="F17" s="18"/>
      <c r="G17" s="22">
        <v>-4.1000000000000003E-3</v>
      </c>
    </row>
    <row r="18" spans="1:7" x14ac:dyDescent="0.3">
      <c r="A18" s="54">
        <v>43853</v>
      </c>
      <c r="B18" s="45">
        <v>15043.86</v>
      </c>
      <c r="C18" s="45">
        <v>15043.86</v>
      </c>
      <c r="D18" s="45">
        <v>15043.86</v>
      </c>
      <c r="E18" s="45">
        <v>15043.86</v>
      </c>
      <c r="F18" s="18"/>
      <c r="G18" s="22">
        <v>7.6E-3</v>
      </c>
    </row>
    <row r="19" spans="1:7" x14ac:dyDescent="0.3">
      <c r="A19" s="54">
        <v>43854</v>
      </c>
      <c r="B19" s="45">
        <v>15138.19</v>
      </c>
      <c r="C19" s="45">
        <v>15138.19</v>
      </c>
      <c r="D19" s="45">
        <v>15138.19</v>
      </c>
      <c r="E19" s="45">
        <v>15138.19</v>
      </c>
      <c r="F19" s="18"/>
      <c r="G19" s="22">
        <v>6.3E-3</v>
      </c>
    </row>
    <row r="20" spans="1:7" x14ac:dyDescent="0.3">
      <c r="A20" s="54">
        <v>43857</v>
      </c>
      <c r="B20" s="45">
        <v>15011.93</v>
      </c>
      <c r="C20" s="45">
        <v>15011.93</v>
      </c>
      <c r="D20" s="45">
        <v>15011.93</v>
      </c>
      <c r="E20" s="45">
        <v>15011.93</v>
      </c>
      <c r="F20" s="18"/>
      <c r="G20" s="22">
        <v>-8.3000000000000001E-3</v>
      </c>
    </row>
    <row r="21" spans="1:7" x14ac:dyDescent="0.3">
      <c r="A21" s="54">
        <v>43858</v>
      </c>
      <c r="B21" s="45">
        <v>14947.9</v>
      </c>
      <c r="C21" s="45">
        <v>14947.9</v>
      </c>
      <c r="D21" s="45">
        <v>14947.9</v>
      </c>
      <c r="E21" s="45">
        <v>14947.9</v>
      </c>
      <c r="F21" s="18"/>
      <c r="G21" s="22">
        <v>-4.3E-3</v>
      </c>
    </row>
    <row r="22" spans="1:7" x14ac:dyDescent="0.3">
      <c r="A22" s="54">
        <v>43859</v>
      </c>
      <c r="B22" s="45">
        <v>15026.51</v>
      </c>
      <c r="C22" s="45">
        <v>15026.51</v>
      </c>
      <c r="D22" s="45">
        <v>15026.51</v>
      </c>
      <c r="E22" s="45">
        <v>15026.51</v>
      </c>
      <c r="F22" s="18"/>
      <c r="G22" s="22">
        <v>5.3E-3</v>
      </c>
    </row>
    <row r="23" spans="1:7" x14ac:dyDescent="0.3">
      <c r="A23" s="54">
        <v>43860</v>
      </c>
      <c r="B23" s="45">
        <v>14891.25</v>
      </c>
      <c r="C23" s="45">
        <v>14891.25</v>
      </c>
      <c r="D23" s="45">
        <v>14891.25</v>
      </c>
      <c r="E23" s="45">
        <v>14891.25</v>
      </c>
      <c r="F23" s="18"/>
      <c r="G23" s="22">
        <v>-8.9999999999999993E-3</v>
      </c>
    </row>
    <row r="24" spans="1:7" x14ac:dyDescent="0.3">
      <c r="A24" s="54">
        <v>43861</v>
      </c>
      <c r="B24" s="45">
        <v>14804.57</v>
      </c>
      <c r="C24" s="45">
        <v>14804.57</v>
      </c>
      <c r="D24" s="45">
        <v>14804.57</v>
      </c>
      <c r="E24" s="45">
        <v>14804.57</v>
      </c>
      <c r="F24" s="18"/>
      <c r="G24" s="22">
        <v>-5.7999999999999996E-3</v>
      </c>
    </row>
    <row r="25" spans="1:7" x14ac:dyDescent="0.3">
      <c r="A25" s="54">
        <v>43862</v>
      </c>
      <c r="B25" s="45">
        <v>3581.29</v>
      </c>
      <c r="C25" s="45">
        <v>3581.29</v>
      </c>
      <c r="D25" s="45">
        <v>3581.29</v>
      </c>
      <c r="E25" s="45">
        <v>3581.29</v>
      </c>
      <c r="F25" s="18"/>
      <c r="G25" s="22">
        <v>-0.7581</v>
      </c>
    </row>
    <row r="26" spans="1:7" x14ac:dyDescent="0.3">
      <c r="A26" s="54">
        <v>43864</v>
      </c>
      <c r="B26" s="45">
        <v>14488.18</v>
      </c>
      <c r="C26" s="45">
        <v>14488.18</v>
      </c>
      <c r="D26" s="45">
        <v>14488.18</v>
      </c>
      <c r="E26" s="45">
        <v>14488.18</v>
      </c>
      <c r="F26" s="18"/>
      <c r="G26" s="22">
        <v>3.0455000000000001</v>
      </c>
    </row>
    <row r="27" spans="1:7" x14ac:dyDescent="0.3">
      <c r="A27" s="54">
        <v>43865</v>
      </c>
      <c r="B27" s="45">
        <v>14792.21</v>
      </c>
      <c r="C27" s="45">
        <v>14792.21</v>
      </c>
      <c r="D27" s="45">
        <v>14792.21</v>
      </c>
      <c r="E27" s="45">
        <v>14792.21</v>
      </c>
      <c r="F27" s="18"/>
      <c r="G27" s="22">
        <v>2.1000000000000001E-2</v>
      </c>
    </row>
    <row r="28" spans="1:7" x14ac:dyDescent="0.3">
      <c r="A28" s="54">
        <v>43866</v>
      </c>
      <c r="B28" s="45">
        <v>14939.95</v>
      </c>
      <c r="C28" s="45">
        <v>14939.95</v>
      </c>
      <c r="D28" s="45">
        <v>14939.95</v>
      </c>
      <c r="E28" s="45">
        <v>14939.95</v>
      </c>
      <c r="F28" s="18"/>
      <c r="G28" s="22">
        <v>0.01</v>
      </c>
    </row>
    <row r="29" spans="1:7" x14ac:dyDescent="0.3">
      <c r="A29" s="54">
        <v>43867</v>
      </c>
      <c r="B29" s="45">
        <v>15019.88</v>
      </c>
      <c r="C29" s="45">
        <v>15019.88</v>
      </c>
      <c r="D29" s="45">
        <v>15019.88</v>
      </c>
      <c r="E29" s="45">
        <v>15019.88</v>
      </c>
      <c r="F29" s="18"/>
      <c r="G29" s="22">
        <v>5.4000000000000003E-3</v>
      </c>
    </row>
    <row r="30" spans="1:7" x14ac:dyDescent="0.3">
      <c r="A30" s="54">
        <v>43868</v>
      </c>
      <c r="B30" s="45">
        <v>15014.96</v>
      </c>
      <c r="C30" s="45">
        <v>15014.96</v>
      </c>
      <c r="D30" s="45">
        <v>15014.96</v>
      </c>
      <c r="E30" s="45">
        <v>15014.96</v>
      </c>
      <c r="F30" s="18"/>
      <c r="G30" s="22">
        <v>-2.9999999999999997E-4</v>
      </c>
    </row>
    <row r="31" spans="1:7" x14ac:dyDescent="0.3">
      <c r="A31" s="54">
        <v>43871</v>
      </c>
      <c r="B31" s="45">
        <v>14932.29</v>
      </c>
      <c r="C31" s="45">
        <v>14932.29</v>
      </c>
      <c r="D31" s="45">
        <v>14932.29</v>
      </c>
      <c r="E31" s="45">
        <v>14932.29</v>
      </c>
      <c r="F31" s="18"/>
      <c r="G31" s="22">
        <v>-5.4999999999999997E-3</v>
      </c>
    </row>
    <row r="32" spans="1:7" x14ac:dyDescent="0.3">
      <c r="A32" s="54">
        <v>43872</v>
      </c>
      <c r="B32" s="45">
        <v>14994.85</v>
      </c>
      <c r="C32" s="45">
        <v>14994.85</v>
      </c>
      <c r="D32" s="45">
        <v>14994.85</v>
      </c>
      <c r="E32" s="45">
        <v>14994.85</v>
      </c>
      <c r="F32" s="18"/>
      <c r="G32" s="22">
        <v>4.1999999999999997E-3</v>
      </c>
    </row>
    <row r="33" spans="1:7" x14ac:dyDescent="0.3">
      <c r="A33" s="54">
        <v>43873</v>
      </c>
      <c r="B33" s="45">
        <v>15070.16</v>
      </c>
      <c r="C33" s="45">
        <v>15070.16</v>
      </c>
      <c r="D33" s="45">
        <v>15070.16</v>
      </c>
      <c r="E33" s="45">
        <v>15070.16</v>
      </c>
      <c r="F33" s="18"/>
      <c r="G33" s="22">
        <v>5.0000000000000001E-3</v>
      </c>
    </row>
    <row r="34" spans="1:7" x14ac:dyDescent="0.3">
      <c r="A34" s="54">
        <v>43874</v>
      </c>
      <c r="B34" s="45">
        <v>15041.87</v>
      </c>
      <c r="C34" s="45">
        <v>15041.87</v>
      </c>
      <c r="D34" s="45">
        <v>15041.87</v>
      </c>
      <c r="E34" s="45">
        <v>15041.87</v>
      </c>
      <c r="F34" s="18"/>
      <c r="G34" s="22">
        <v>-1.9E-3</v>
      </c>
    </row>
    <row r="35" spans="1:7" x14ac:dyDescent="0.3">
      <c r="A35" s="54">
        <v>43875</v>
      </c>
      <c r="B35" s="45">
        <v>14956.99</v>
      </c>
      <c r="C35" s="45">
        <v>14956.99</v>
      </c>
      <c r="D35" s="45">
        <v>14956.99</v>
      </c>
      <c r="E35" s="45">
        <v>14956.99</v>
      </c>
      <c r="F35" s="18"/>
      <c r="G35" s="22">
        <v>-5.5999999999999999E-3</v>
      </c>
    </row>
    <row r="36" spans="1:7" x14ac:dyDescent="0.3">
      <c r="A36" s="54">
        <v>43878</v>
      </c>
      <c r="B36" s="45">
        <v>14855.22</v>
      </c>
      <c r="C36" s="45">
        <v>14855.22</v>
      </c>
      <c r="D36" s="45">
        <v>14855.22</v>
      </c>
      <c r="E36" s="45">
        <v>14855.22</v>
      </c>
      <c r="F36" s="18"/>
      <c r="G36" s="22">
        <v>-6.7999999999999996E-3</v>
      </c>
    </row>
    <row r="37" spans="1:7" x14ac:dyDescent="0.3">
      <c r="A37" s="54">
        <v>43879</v>
      </c>
      <c r="B37" s="45">
        <v>14789.34</v>
      </c>
      <c r="C37" s="45">
        <v>14789.34</v>
      </c>
      <c r="D37" s="45">
        <v>14789.34</v>
      </c>
      <c r="E37" s="45">
        <v>14789.34</v>
      </c>
      <c r="F37" s="18"/>
      <c r="G37" s="22">
        <v>-4.4000000000000003E-3</v>
      </c>
    </row>
    <row r="38" spans="1:7" x14ac:dyDescent="0.3">
      <c r="A38" s="54">
        <v>43880</v>
      </c>
      <c r="B38" s="45">
        <v>14977.03</v>
      </c>
      <c r="C38" s="45">
        <v>14977.03</v>
      </c>
      <c r="D38" s="45">
        <v>14977.03</v>
      </c>
      <c r="E38" s="45">
        <v>14977.03</v>
      </c>
      <c r="F38" s="18"/>
      <c r="G38" s="22">
        <v>1.2699999999999999E-2</v>
      </c>
    </row>
    <row r="39" spans="1:7" x14ac:dyDescent="0.3">
      <c r="A39" s="54">
        <v>43881</v>
      </c>
      <c r="B39" s="45">
        <v>14959.29</v>
      </c>
      <c r="C39" s="45">
        <v>14959.29</v>
      </c>
      <c r="D39" s="45">
        <v>14959.29</v>
      </c>
      <c r="E39" s="45">
        <v>14959.29</v>
      </c>
      <c r="F39" s="18"/>
      <c r="G39" s="22">
        <v>-1.1999999999999999E-3</v>
      </c>
    </row>
    <row r="40" spans="1:7" x14ac:dyDescent="0.3">
      <c r="A40" s="54">
        <v>43885</v>
      </c>
      <c r="B40" s="45">
        <v>14659.13</v>
      </c>
      <c r="C40" s="45">
        <v>14659.13</v>
      </c>
      <c r="D40" s="45">
        <v>14659.13</v>
      </c>
      <c r="E40" s="45">
        <v>14659.13</v>
      </c>
      <c r="F40" s="18"/>
      <c r="G40" s="22">
        <v>-2.01E-2</v>
      </c>
    </row>
    <row r="41" spans="1:7" x14ac:dyDescent="0.3">
      <c r="A41" s="54">
        <v>43886</v>
      </c>
      <c r="B41" s="45">
        <v>14609.32</v>
      </c>
      <c r="C41" s="45">
        <v>14609.32</v>
      </c>
      <c r="D41" s="45">
        <v>14609.32</v>
      </c>
      <c r="E41" s="45">
        <v>14609.32</v>
      </c>
      <c r="F41" s="18"/>
      <c r="G41" s="22">
        <v>-3.3999999999999998E-3</v>
      </c>
    </row>
    <row r="42" spans="1:7" x14ac:dyDescent="0.3">
      <c r="A42" s="54">
        <v>43887</v>
      </c>
      <c r="B42" s="45">
        <v>14959.29</v>
      </c>
      <c r="C42" s="45">
        <v>14959.29</v>
      </c>
      <c r="D42" s="45">
        <v>14959.29</v>
      </c>
      <c r="E42" s="45">
        <v>14959.29</v>
      </c>
      <c r="F42" s="18"/>
      <c r="G42" s="22">
        <v>2.4E-2</v>
      </c>
    </row>
    <row r="43" spans="1:7" x14ac:dyDescent="0.3">
      <c r="A43" s="54">
        <v>43888</v>
      </c>
      <c r="B43" s="45">
        <v>14391.08</v>
      </c>
      <c r="C43" s="45">
        <v>14391.08</v>
      </c>
      <c r="D43" s="45">
        <v>14391.08</v>
      </c>
      <c r="E43" s="45">
        <v>14391.08</v>
      </c>
      <c r="F43" s="18"/>
      <c r="G43" s="22">
        <v>-3.7999999999999999E-2</v>
      </c>
    </row>
    <row r="44" spans="1:7" x14ac:dyDescent="0.3">
      <c r="A44" s="54">
        <v>43889</v>
      </c>
      <c r="B44" s="45">
        <v>13875.34</v>
      </c>
      <c r="C44" s="45">
        <v>13875.34</v>
      </c>
      <c r="D44" s="45">
        <v>13875.34</v>
      </c>
      <c r="E44" s="45">
        <v>13875.34</v>
      </c>
      <c r="F44" s="18"/>
      <c r="G44" s="22">
        <v>-3.5799999999999998E-2</v>
      </c>
    </row>
    <row r="45" spans="1:7" x14ac:dyDescent="0.3">
      <c r="A45" s="54">
        <v>43892</v>
      </c>
      <c r="B45" s="45">
        <v>13790.7</v>
      </c>
      <c r="C45" s="45">
        <v>13790.7</v>
      </c>
      <c r="D45" s="45">
        <v>13790.7</v>
      </c>
      <c r="E45" s="45">
        <v>13790.7</v>
      </c>
      <c r="F45" s="18"/>
      <c r="G45" s="22">
        <v>-6.1000000000000004E-3</v>
      </c>
    </row>
    <row r="46" spans="1:7" x14ac:dyDescent="0.3">
      <c r="A46" s="54">
        <v>43893</v>
      </c>
      <c r="B46" s="45">
        <v>14014.65</v>
      </c>
      <c r="C46" s="45">
        <v>14014.65</v>
      </c>
      <c r="D46" s="45">
        <v>14014.65</v>
      </c>
      <c r="E46" s="45">
        <v>14014.65</v>
      </c>
      <c r="F46" s="18"/>
      <c r="G46" s="22">
        <v>1.6199999999999999E-2</v>
      </c>
    </row>
    <row r="47" spans="1:7" x14ac:dyDescent="0.3">
      <c r="A47" s="54">
        <v>43894</v>
      </c>
      <c r="B47" s="45">
        <v>13915.97</v>
      </c>
      <c r="C47" s="45">
        <v>13915.97</v>
      </c>
      <c r="D47" s="45">
        <v>13915.97</v>
      </c>
      <c r="E47" s="45">
        <v>13915.97</v>
      </c>
      <c r="F47" s="18"/>
      <c r="G47" s="22">
        <v>-7.0000000000000001E-3</v>
      </c>
    </row>
    <row r="48" spans="1:7" x14ac:dyDescent="0.3">
      <c r="A48" s="54">
        <v>43895</v>
      </c>
      <c r="B48" s="45">
        <v>13950.63</v>
      </c>
      <c r="C48" s="45">
        <v>13950.63</v>
      </c>
      <c r="D48" s="45">
        <v>13950.63</v>
      </c>
      <c r="E48" s="45">
        <v>13950.63</v>
      </c>
      <c r="F48" s="18"/>
      <c r="G48" s="22">
        <v>2.5000000000000001E-3</v>
      </c>
    </row>
    <row r="49" spans="1:7" x14ac:dyDescent="0.3">
      <c r="A49" s="54">
        <v>43896</v>
      </c>
      <c r="B49" s="45">
        <v>13620.08</v>
      </c>
      <c r="C49" s="45">
        <v>13620.08</v>
      </c>
      <c r="D49" s="45">
        <v>13620.08</v>
      </c>
      <c r="E49" s="45">
        <v>13620.08</v>
      </c>
      <c r="F49" s="18"/>
      <c r="G49" s="22">
        <v>-2.3699999999999999E-2</v>
      </c>
    </row>
    <row r="50" spans="1:7" x14ac:dyDescent="0.3">
      <c r="A50" s="54">
        <v>43899</v>
      </c>
      <c r="B50" s="45">
        <v>12976.14</v>
      </c>
      <c r="C50" s="45">
        <v>12976.14</v>
      </c>
      <c r="D50" s="45">
        <v>12976.14</v>
      </c>
      <c r="E50" s="45">
        <v>12976.14</v>
      </c>
      <c r="F50" s="18"/>
      <c r="G50" s="22">
        <v>-4.7300000000000002E-2</v>
      </c>
    </row>
    <row r="51" spans="1:7" x14ac:dyDescent="0.3">
      <c r="A51" s="54">
        <v>43901</v>
      </c>
      <c r="B51" s="45">
        <v>12956.35</v>
      </c>
      <c r="C51" s="45">
        <v>12956.35</v>
      </c>
      <c r="D51" s="45">
        <v>12956.35</v>
      </c>
      <c r="E51" s="45">
        <v>12956.35</v>
      </c>
      <c r="F51" s="18"/>
      <c r="G51" s="22">
        <v>-1.5E-3</v>
      </c>
    </row>
    <row r="52" spans="1:7" x14ac:dyDescent="0.3">
      <c r="A52" s="54">
        <v>43902</v>
      </c>
      <c r="B52" s="45">
        <v>11879.69</v>
      </c>
      <c r="C52" s="45">
        <v>11879.69</v>
      </c>
      <c r="D52" s="45">
        <v>11879.69</v>
      </c>
      <c r="E52" s="45">
        <v>11879.69</v>
      </c>
      <c r="F52" s="18"/>
      <c r="G52" s="22">
        <v>-8.3099999999999993E-2</v>
      </c>
    </row>
    <row r="53" spans="1:7" x14ac:dyDescent="0.3">
      <c r="A53" s="54">
        <v>43903</v>
      </c>
      <c r="B53" s="45">
        <v>12273.34</v>
      </c>
      <c r="C53" s="45">
        <v>12273.34</v>
      </c>
      <c r="D53" s="45">
        <v>12273.34</v>
      </c>
      <c r="E53" s="45">
        <v>12273.34</v>
      </c>
      <c r="F53" s="18"/>
      <c r="G53" s="22">
        <v>3.3099999999999997E-2</v>
      </c>
    </row>
    <row r="54" spans="1:7" x14ac:dyDescent="0.3">
      <c r="A54" s="54">
        <v>43906</v>
      </c>
      <c r="B54" s="45">
        <v>11418.53</v>
      </c>
      <c r="C54" s="45">
        <v>11418.53</v>
      </c>
      <c r="D54" s="45">
        <v>11418.53</v>
      </c>
      <c r="E54" s="45">
        <v>11418.53</v>
      </c>
      <c r="F54" s="18"/>
      <c r="G54" s="22">
        <v>-6.9599999999999995E-2</v>
      </c>
    </row>
    <row r="55" spans="1:7" x14ac:dyDescent="0.3">
      <c r="A55" s="54">
        <v>43907</v>
      </c>
      <c r="B55" s="45">
        <v>11156.98</v>
      </c>
      <c r="C55" s="45">
        <v>11156.98</v>
      </c>
      <c r="D55" s="45">
        <v>11156.98</v>
      </c>
      <c r="E55" s="45">
        <v>11156.98</v>
      </c>
      <c r="F55" s="18"/>
      <c r="G55" s="22">
        <v>-2.29E-2</v>
      </c>
    </row>
    <row r="56" spans="1:7" x14ac:dyDescent="0.3">
      <c r="A56" s="54">
        <v>43908</v>
      </c>
      <c r="B56" s="45">
        <v>10545.38</v>
      </c>
      <c r="C56" s="45">
        <v>10545.38</v>
      </c>
      <c r="D56" s="45">
        <v>10545.38</v>
      </c>
      <c r="E56" s="45">
        <v>10545.38</v>
      </c>
      <c r="F56" s="18"/>
      <c r="G56" s="22">
        <v>-5.4800000000000001E-2</v>
      </c>
    </row>
    <row r="57" spans="1:7" x14ac:dyDescent="0.3">
      <c r="A57" s="54">
        <v>43909</v>
      </c>
      <c r="B57" s="45">
        <v>10243.870000000001</v>
      </c>
      <c r="C57" s="45">
        <v>10243.870000000001</v>
      </c>
      <c r="D57" s="45">
        <v>10243.870000000001</v>
      </c>
      <c r="E57" s="45">
        <v>10243.870000000001</v>
      </c>
      <c r="F57" s="18"/>
      <c r="G57" s="22">
        <v>-2.86E-2</v>
      </c>
    </row>
    <row r="58" spans="1:7" x14ac:dyDescent="0.3">
      <c r="A58" s="54">
        <v>43910</v>
      </c>
      <c r="B58" s="45">
        <v>10774.99</v>
      </c>
      <c r="C58" s="45">
        <v>10774.99</v>
      </c>
      <c r="D58" s="45">
        <v>10774.99</v>
      </c>
      <c r="E58" s="45">
        <v>10774.99</v>
      </c>
      <c r="F58" s="18"/>
      <c r="G58" s="22">
        <v>5.1799999999999999E-2</v>
      </c>
    </row>
    <row r="59" spans="1:7" x14ac:dyDescent="0.3">
      <c r="A59" s="54">
        <v>43913</v>
      </c>
      <c r="B59" s="45">
        <v>9400.9599999999991</v>
      </c>
      <c r="C59" s="45">
        <v>9400.9599999999991</v>
      </c>
      <c r="D59" s="45">
        <v>9400.9599999999991</v>
      </c>
      <c r="E59" s="45">
        <v>9400.9599999999991</v>
      </c>
      <c r="F59" s="18"/>
      <c r="G59" s="22">
        <v>-0.1275</v>
      </c>
    </row>
    <row r="60" spans="1:7" x14ac:dyDescent="0.3">
      <c r="A60" s="54">
        <v>43914</v>
      </c>
      <c r="B60" s="45">
        <v>9588.01</v>
      </c>
      <c r="C60" s="45">
        <v>9588.01</v>
      </c>
      <c r="D60" s="45">
        <v>9588.01</v>
      </c>
      <c r="E60" s="45">
        <v>9588.01</v>
      </c>
      <c r="F60" s="18"/>
      <c r="G60" s="22">
        <v>1.9900000000000001E-2</v>
      </c>
    </row>
    <row r="61" spans="1:7" x14ac:dyDescent="0.3">
      <c r="A61" s="54">
        <v>43915</v>
      </c>
      <c r="B61" s="45">
        <v>10128.06</v>
      </c>
      <c r="C61" s="45">
        <v>10128.06</v>
      </c>
      <c r="D61" s="45">
        <v>10128.06</v>
      </c>
      <c r="E61" s="45">
        <v>10128.06</v>
      </c>
      <c r="F61" s="18"/>
      <c r="G61" s="22">
        <v>5.6300000000000003E-2</v>
      </c>
    </row>
    <row r="62" spans="1:7" x14ac:dyDescent="0.3">
      <c r="A62" s="54">
        <v>43916</v>
      </c>
      <c r="B62" s="45">
        <v>10535.69</v>
      </c>
      <c r="C62" s="45">
        <v>10535.69</v>
      </c>
      <c r="D62" s="45">
        <v>10535.69</v>
      </c>
      <c r="E62" s="45">
        <v>10535.69</v>
      </c>
      <c r="F62" s="18"/>
      <c r="G62" s="22">
        <v>4.02E-2</v>
      </c>
    </row>
    <row r="63" spans="1:7" x14ac:dyDescent="0.3">
      <c r="A63" s="54">
        <v>43917</v>
      </c>
      <c r="B63" s="45">
        <v>10550.2</v>
      </c>
      <c r="C63" s="45">
        <v>10550.2</v>
      </c>
      <c r="D63" s="45">
        <v>10550.2</v>
      </c>
      <c r="E63" s="45">
        <v>10550.2</v>
      </c>
      <c r="F63" s="18"/>
      <c r="G63" s="22">
        <v>1.4E-3</v>
      </c>
    </row>
    <row r="64" spans="1:7" x14ac:dyDescent="0.3">
      <c r="A64" s="54">
        <v>43920</v>
      </c>
      <c r="B64" s="45">
        <v>10167.459999999999</v>
      </c>
      <c r="C64" s="45">
        <v>10167.459999999999</v>
      </c>
      <c r="D64" s="45">
        <v>10167.459999999999</v>
      </c>
      <c r="E64" s="45">
        <v>10167.459999999999</v>
      </c>
      <c r="F64" s="18"/>
      <c r="G64" s="22">
        <v>-3.6299999999999999E-2</v>
      </c>
    </row>
    <row r="65" spans="1:7" x14ac:dyDescent="0.3">
      <c r="A65" s="54">
        <v>43922</v>
      </c>
      <c r="B65" s="45">
        <v>10186.74</v>
      </c>
      <c r="C65" s="45">
        <v>10186.74</v>
      </c>
      <c r="D65" s="45">
        <v>10186.74</v>
      </c>
      <c r="E65" s="45">
        <v>10186.74</v>
      </c>
      <c r="F65" s="18"/>
      <c r="G65" s="22">
        <v>1.9E-3</v>
      </c>
    </row>
    <row r="66" spans="1:7" x14ac:dyDescent="0.3">
      <c r="A66" s="54">
        <v>43924</v>
      </c>
      <c r="B66" s="45">
        <v>10000.86</v>
      </c>
      <c r="C66" s="45">
        <v>10000.86</v>
      </c>
      <c r="D66" s="45">
        <v>10000.86</v>
      </c>
      <c r="E66" s="45">
        <v>10000.86</v>
      </c>
      <c r="F66" s="18"/>
      <c r="G66" s="22">
        <v>-1.8200000000000001E-2</v>
      </c>
    </row>
    <row r="67" spans="1:7" x14ac:dyDescent="0.3">
      <c r="A67" s="54">
        <v>43928</v>
      </c>
      <c r="B67" s="45">
        <v>10770.05</v>
      </c>
      <c r="C67" s="45">
        <v>10770.05</v>
      </c>
      <c r="D67" s="45">
        <v>10770.05</v>
      </c>
      <c r="E67" s="45">
        <v>10770.05</v>
      </c>
      <c r="F67" s="18"/>
      <c r="G67" s="22">
        <v>7.6899999999999996E-2</v>
      </c>
    </row>
    <row r="68" spans="1:7" x14ac:dyDescent="0.3">
      <c r="A68" s="54">
        <v>43929</v>
      </c>
      <c r="B68" s="45">
        <v>10788.81</v>
      </c>
      <c r="C68" s="45">
        <v>10788.81</v>
      </c>
      <c r="D68" s="45">
        <v>10788.81</v>
      </c>
      <c r="E68" s="45">
        <v>10788.81</v>
      </c>
      <c r="F68" s="18"/>
      <c r="G68" s="22">
        <v>1.6999999999999999E-3</v>
      </c>
    </row>
    <row r="69" spans="1:7" x14ac:dyDescent="0.3">
      <c r="A69" s="54">
        <v>43930</v>
      </c>
      <c r="B69" s="45">
        <v>11210.95</v>
      </c>
      <c r="C69" s="45">
        <v>11210.95</v>
      </c>
      <c r="D69" s="45">
        <v>11210.95</v>
      </c>
      <c r="E69" s="45">
        <v>11210.95</v>
      </c>
      <c r="F69" s="18"/>
      <c r="G69" s="22">
        <v>3.9100000000000003E-2</v>
      </c>
    </row>
    <row r="70" spans="1:7" x14ac:dyDescent="0.3">
      <c r="A70" s="54">
        <v>43934</v>
      </c>
      <c r="B70" s="45">
        <v>11088.47</v>
      </c>
      <c r="C70" s="45">
        <v>11088.47</v>
      </c>
      <c r="D70" s="45">
        <v>11088.47</v>
      </c>
      <c r="E70" s="45">
        <v>11088.47</v>
      </c>
      <c r="F70" s="18"/>
      <c r="G70" s="22">
        <v>-1.09E-2</v>
      </c>
    </row>
    <row r="71" spans="1:7" x14ac:dyDescent="0.3">
      <c r="A71" s="54">
        <v>43936</v>
      </c>
      <c r="B71" s="45">
        <v>11064.34</v>
      </c>
      <c r="C71" s="45">
        <v>11064.34</v>
      </c>
      <c r="D71" s="45">
        <v>11064.34</v>
      </c>
      <c r="E71" s="45">
        <v>11064.34</v>
      </c>
      <c r="F71" s="18"/>
      <c r="G71" s="22">
        <v>-2.2000000000000001E-3</v>
      </c>
    </row>
    <row r="72" spans="1:7" x14ac:dyDescent="0.3">
      <c r="A72" s="54">
        <v>43937</v>
      </c>
      <c r="B72" s="45">
        <v>11166.67</v>
      </c>
      <c r="C72" s="45">
        <v>11166.67</v>
      </c>
      <c r="D72" s="45">
        <v>11166.67</v>
      </c>
      <c r="E72" s="45">
        <v>11166.67</v>
      </c>
      <c r="F72" s="18"/>
      <c r="G72" s="22">
        <v>9.1999999999999998E-3</v>
      </c>
    </row>
    <row r="73" spans="1:7" x14ac:dyDescent="0.3">
      <c r="A73" s="54">
        <v>43938</v>
      </c>
      <c r="B73" s="45">
        <v>11471.14</v>
      </c>
      <c r="C73" s="45">
        <v>11471.14</v>
      </c>
      <c r="D73" s="45">
        <v>11471.14</v>
      </c>
      <c r="E73" s="45">
        <v>11471.14</v>
      </c>
      <c r="F73" s="18"/>
      <c r="G73" s="22">
        <v>2.7300000000000001E-2</v>
      </c>
    </row>
    <row r="74" spans="1:7" x14ac:dyDescent="0.3">
      <c r="A74" s="54">
        <v>43941</v>
      </c>
      <c r="B74" s="45">
        <v>11471.44</v>
      </c>
      <c r="C74" s="45">
        <v>11471.44</v>
      </c>
      <c r="D74" s="45">
        <v>11471.44</v>
      </c>
      <c r="E74" s="45">
        <v>11471.44</v>
      </c>
      <c r="F74" s="18"/>
      <c r="G74" s="22">
        <v>0</v>
      </c>
    </row>
    <row r="75" spans="1:7" x14ac:dyDescent="0.3">
      <c r="A75" s="54">
        <v>43942</v>
      </c>
      <c r="B75" s="45">
        <v>11141.94</v>
      </c>
      <c r="C75" s="45">
        <v>11141.94</v>
      </c>
      <c r="D75" s="45">
        <v>11141.94</v>
      </c>
      <c r="E75" s="45">
        <v>11141.94</v>
      </c>
      <c r="F75" s="18"/>
      <c r="G75" s="22">
        <v>-2.87E-2</v>
      </c>
    </row>
    <row r="76" spans="1:7" x14ac:dyDescent="0.3">
      <c r="A76" s="54">
        <v>43943</v>
      </c>
      <c r="B76" s="45">
        <v>11349.73</v>
      </c>
      <c r="C76" s="45">
        <v>11349.73</v>
      </c>
      <c r="D76" s="45">
        <v>11349.73</v>
      </c>
      <c r="E76" s="45">
        <v>11349.73</v>
      </c>
      <c r="F76" s="18"/>
      <c r="G76" s="22">
        <v>1.8599999999999998E-2</v>
      </c>
    </row>
    <row r="77" spans="1:7" x14ac:dyDescent="0.3">
      <c r="A77" s="54">
        <v>43944</v>
      </c>
      <c r="B77" s="45">
        <v>11487.6</v>
      </c>
      <c r="C77" s="45">
        <v>11487.6</v>
      </c>
      <c r="D77" s="45">
        <v>11487.6</v>
      </c>
      <c r="E77" s="45">
        <v>11487.6</v>
      </c>
      <c r="F77" s="18"/>
      <c r="G77" s="22">
        <v>1.21E-2</v>
      </c>
    </row>
    <row r="78" spans="1:7" x14ac:dyDescent="0.3">
      <c r="A78" s="54">
        <v>43945</v>
      </c>
      <c r="B78" s="45">
        <v>11288.98</v>
      </c>
      <c r="C78" s="45">
        <v>11288.98</v>
      </c>
      <c r="D78" s="45">
        <v>11288.98</v>
      </c>
      <c r="E78" s="45">
        <v>11288.98</v>
      </c>
      <c r="F78" s="18"/>
      <c r="G78" s="22">
        <v>-1.7299999999999999E-2</v>
      </c>
    </row>
    <row r="79" spans="1:7" x14ac:dyDescent="0.3">
      <c r="A79" s="54">
        <v>43948</v>
      </c>
      <c r="B79" s="45">
        <v>11455.42</v>
      </c>
      <c r="C79" s="45">
        <v>11455.42</v>
      </c>
      <c r="D79" s="45">
        <v>11455.42</v>
      </c>
      <c r="E79" s="45">
        <v>11455.42</v>
      </c>
      <c r="F79" s="18"/>
      <c r="G79" s="22">
        <v>1.47E-2</v>
      </c>
    </row>
    <row r="80" spans="1:7" x14ac:dyDescent="0.3">
      <c r="A80" s="54">
        <v>43949</v>
      </c>
      <c r="B80" s="45">
        <v>11558.67</v>
      </c>
      <c r="C80" s="45">
        <v>11558.67</v>
      </c>
      <c r="D80" s="45">
        <v>11558.67</v>
      </c>
      <c r="E80" s="45">
        <v>11558.67</v>
      </c>
      <c r="F80" s="18"/>
      <c r="G80" s="22">
        <v>8.9999999999999993E-3</v>
      </c>
    </row>
    <row r="81" spans="1:7" x14ac:dyDescent="0.3">
      <c r="A81" s="54">
        <v>43950</v>
      </c>
      <c r="B81" s="45">
        <v>11747.42</v>
      </c>
      <c r="C81" s="45">
        <v>11747.42</v>
      </c>
      <c r="D81" s="45">
        <v>11747.42</v>
      </c>
      <c r="E81" s="45">
        <v>11747.42</v>
      </c>
      <c r="F81" s="18"/>
      <c r="G81" s="22">
        <v>1.6299999999999999E-2</v>
      </c>
    </row>
    <row r="82" spans="1:7" x14ac:dyDescent="0.3">
      <c r="A82" s="54">
        <v>43951</v>
      </c>
      <c r="B82" s="45">
        <v>12072.43</v>
      </c>
      <c r="C82" s="45">
        <v>12072.43</v>
      </c>
      <c r="D82" s="45">
        <v>12072.43</v>
      </c>
      <c r="E82" s="45">
        <v>12072.43</v>
      </c>
      <c r="F82" s="18"/>
      <c r="G82" s="22">
        <v>2.7699999999999999E-2</v>
      </c>
    </row>
    <row r="83" spans="1:7" x14ac:dyDescent="0.3">
      <c r="A83" s="54">
        <v>43955</v>
      </c>
      <c r="B83" s="45">
        <v>11445.71</v>
      </c>
      <c r="C83" s="45">
        <v>11445.71</v>
      </c>
      <c r="D83" s="45">
        <v>11445.71</v>
      </c>
      <c r="E83" s="45">
        <v>11445.71</v>
      </c>
      <c r="F83" s="18"/>
      <c r="G83" s="22">
        <v>-5.1900000000000002E-2</v>
      </c>
    </row>
    <row r="84" spans="1:7" x14ac:dyDescent="0.3">
      <c r="A84" s="54">
        <v>43956</v>
      </c>
      <c r="B84" s="45">
        <v>11335.14</v>
      </c>
      <c r="C84" s="45">
        <v>11335.14</v>
      </c>
      <c r="D84" s="45">
        <v>11335.14</v>
      </c>
      <c r="E84" s="45">
        <v>11335.14</v>
      </c>
      <c r="F84" s="18"/>
      <c r="G84" s="22">
        <v>-9.7000000000000003E-3</v>
      </c>
    </row>
    <row r="85" spans="1:7" x14ac:dyDescent="0.3">
      <c r="A85" s="54">
        <v>43957</v>
      </c>
      <c r="B85" s="45">
        <v>11414.15</v>
      </c>
      <c r="C85" s="45">
        <v>11414.15</v>
      </c>
      <c r="D85" s="45">
        <v>11414.15</v>
      </c>
      <c r="E85" s="45">
        <v>11414.15</v>
      </c>
      <c r="F85" s="18"/>
      <c r="G85" s="22">
        <v>7.0000000000000001E-3</v>
      </c>
    </row>
    <row r="86" spans="1:7" x14ac:dyDescent="0.3">
      <c r="A86" s="54">
        <v>43958</v>
      </c>
      <c r="B86" s="45">
        <v>11331.86</v>
      </c>
      <c r="C86" s="45">
        <v>11331.86</v>
      </c>
      <c r="D86" s="45">
        <v>11331.86</v>
      </c>
      <c r="E86" s="45">
        <v>11331.86</v>
      </c>
      <c r="F86" s="18"/>
      <c r="G86" s="22">
        <v>-7.1999999999999998E-3</v>
      </c>
    </row>
    <row r="87" spans="1:7" x14ac:dyDescent="0.3">
      <c r="A87" s="54">
        <v>43959</v>
      </c>
      <c r="B87" s="45">
        <v>11378.76</v>
      </c>
      <c r="C87" s="45">
        <v>11378.76</v>
      </c>
      <c r="D87" s="45">
        <v>11378.76</v>
      </c>
      <c r="E87" s="45">
        <v>11378.76</v>
      </c>
      <c r="F87" s="18"/>
      <c r="G87" s="22">
        <v>4.1000000000000003E-3</v>
      </c>
    </row>
    <row r="88" spans="1:7" x14ac:dyDescent="0.3">
      <c r="A88" s="54">
        <v>43962</v>
      </c>
      <c r="B88" s="45">
        <v>11385.39</v>
      </c>
      <c r="C88" s="45">
        <v>11385.39</v>
      </c>
      <c r="D88" s="45">
        <v>11385.39</v>
      </c>
      <c r="E88" s="45">
        <v>11385.39</v>
      </c>
      <c r="F88" s="18"/>
      <c r="G88" s="22">
        <v>5.9999999999999995E-4</v>
      </c>
    </row>
    <row r="89" spans="1:7" x14ac:dyDescent="0.3">
      <c r="A89" s="54">
        <v>43963</v>
      </c>
      <c r="B89" s="45">
        <v>11331.93</v>
      </c>
      <c r="C89" s="45">
        <v>11331.93</v>
      </c>
      <c r="D89" s="45">
        <v>11331.93</v>
      </c>
      <c r="E89" s="45">
        <v>11331.93</v>
      </c>
      <c r="F89" s="18"/>
      <c r="G89" s="22">
        <v>-4.7000000000000002E-3</v>
      </c>
    </row>
    <row r="90" spans="1:7" x14ac:dyDescent="0.3">
      <c r="A90" s="54">
        <v>43964</v>
      </c>
      <c r="B90" s="45">
        <v>11551.54</v>
      </c>
      <c r="C90" s="45">
        <v>11551.54</v>
      </c>
      <c r="D90" s="45">
        <v>11551.54</v>
      </c>
      <c r="E90" s="45">
        <v>11551.54</v>
      </c>
      <c r="F90" s="18"/>
      <c r="G90" s="22">
        <v>1.9400000000000001E-2</v>
      </c>
    </row>
    <row r="91" spans="1:7" x14ac:dyDescent="0.3">
      <c r="A91" s="54">
        <v>43965</v>
      </c>
      <c r="B91" s="45">
        <v>11321.91</v>
      </c>
      <c r="C91" s="45">
        <v>11321.91</v>
      </c>
      <c r="D91" s="45">
        <v>11321.91</v>
      </c>
      <c r="E91" s="45">
        <v>11321.91</v>
      </c>
      <c r="F91" s="18"/>
      <c r="G91" s="22">
        <v>-1.9900000000000001E-2</v>
      </c>
    </row>
    <row r="92" spans="1:7" x14ac:dyDescent="0.3">
      <c r="A92" s="54">
        <v>43966</v>
      </c>
      <c r="B92" s="45">
        <v>11306.13</v>
      </c>
      <c r="C92" s="45">
        <v>11306.13</v>
      </c>
      <c r="D92" s="45">
        <v>11306.13</v>
      </c>
      <c r="E92" s="45">
        <v>11306.13</v>
      </c>
      <c r="F92" s="18"/>
      <c r="G92" s="22">
        <v>-1.4E-3</v>
      </c>
    </row>
    <row r="93" spans="1:7" x14ac:dyDescent="0.3">
      <c r="A93" s="54">
        <v>43969</v>
      </c>
      <c r="B93" s="45">
        <v>10916.21</v>
      </c>
      <c r="C93" s="45">
        <v>10916.21</v>
      </c>
      <c r="D93" s="45">
        <v>10916.21</v>
      </c>
      <c r="E93" s="45">
        <v>10916.21</v>
      </c>
      <c r="F93" s="18"/>
      <c r="G93" s="22">
        <v>-3.4500000000000003E-2</v>
      </c>
    </row>
    <row r="94" spans="1:7" x14ac:dyDescent="0.3">
      <c r="A94" s="54">
        <v>43970</v>
      </c>
      <c r="B94" s="45">
        <v>10975.77</v>
      </c>
      <c r="C94" s="45">
        <v>10975.77</v>
      </c>
      <c r="D94" s="45">
        <v>10975.77</v>
      </c>
      <c r="E94" s="45">
        <v>10975.77</v>
      </c>
      <c r="F94" s="18"/>
      <c r="G94" s="22">
        <v>5.4999999999999997E-3</v>
      </c>
    </row>
    <row r="95" spans="1:7" x14ac:dyDescent="0.3">
      <c r="A95" s="54">
        <v>43971</v>
      </c>
      <c r="B95" s="45">
        <v>11190.26</v>
      </c>
      <c r="C95" s="45">
        <v>11190.26</v>
      </c>
      <c r="D95" s="45">
        <v>11190.26</v>
      </c>
      <c r="E95" s="45">
        <v>11190.26</v>
      </c>
      <c r="F95" s="18"/>
      <c r="G95" s="22">
        <v>1.95E-2</v>
      </c>
    </row>
    <row r="96" spans="1:7" x14ac:dyDescent="0.3">
      <c r="A96" s="54">
        <v>43972</v>
      </c>
      <c r="B96" s="45">
        <v>11256.18</v>
      </c>
      <c r="C96" s="45">
        <v>11256.18</v>
      </c>
      <c r="D96" s="45">
        <v>11256.18</v>
      </c>
      <c r="E96" s="45">
        <v>11256.18</v>
      </c>
      <c r="F96" s="18"/>
      <c r="G96" s="22">
        <v>5.8999999999999999E-3</v>
      </c>
    </row>
    <row r="97" spans="1:7" x14ac:dyDescent="0.3">
      <c r="A97" s="54">
        <v>43973</v>
      </c>
      <c r="B97" s="45">
        <v>11173.94</v>
      </c>
      <c r="C97" s="45">
        <v>11173.94</v>
      </c>
      <c r="D97" s="45">
        <v>11173.94</v>
      </c>
      <c r="E97" s="45">
        <v>11173.94</v>
      </c>
      <c r="F97" s="18"/>
      <c r="G97" s="22">
        <v>-7.3000000000000001E-3</v>
      </c>
    </row>
    <row r="98" spans="1:7" x14ac:dyDescent="0.3">
      <c r="A98" s="54">
        <v>43977</v>
      </c>
      <c r="B98" s="45">
        <v>11186.72</v>
      </c>
      <c r="C98" s="45">
        <v>11186.72</v>
      </c>
      <c r="D98" s="45">
        <v>11186.72</v>
      </c>
      <c r="E98" s="45">
        <v>11186.72</v>
      </c>
      <c r="F98" s="18"/>
      <c r="G98" s="22">
        <v>1.1000000000000001E-3</v>
      </c>
    </row>
    <row r="99" spans="1:7" x14ac:dyDescent="0.3">
      <c r="A99" s="54">
        <v>43978</v>
      </c>
      <c r="B99" s="45">
        <v>11444.46</v>
      </c>
      <c r="C99" s="45">
        <v>11444.46</v>
      </c>
      <c r="D99" s="45">
        <v>11444.46</v>
      </c>
      <c r="E99" s="45">
        <v>11444.46</v>
      </c>
      <c r="F99" s="18"/>
      <c r="G99" s="22">
        <v>2.3E-2</v>
      </c>
    </row>
    <row r="100" spans="1:7" x14ac:dyDescent="0.3">
      <c r="A100" s="54">
        <v>43979</v>
      </c>
      <c r="B100" s="45">
        <v>11650.41</v>
      </c>
      <c r="C100" s="45">
        <v>11650.41</v>
      </c>
      <c r="D100" s="45">
        <v>11650.41</v>
      </c>
      <c r="E100" s="45">
        <v>11650.41</v>
      </c>
      <c r="F100" s="18"/>
      <c r="G100" s="22">
        <v>1.7999999999999999E-2</v>
      </c>
    </row>
    <row r="101" spans="1:7" x14ac:dyDescent="0.3">
      <c r="A101" s="54">
        <v>43980</v>
      </c>
      <c r="B101" s="45">
        <v>11793.53</v>
      </c>
      <c r="C101" s="45">
        <v>11793.53</v>
      </c>
      <c r="D101" s="45">
        <v>11793.53</v>
      </c>
      <c r="E101" s="45">
        <v>11793.53</v>
      </c>
      <c r="F101" s="18"/>
      <c r="G101" s="22">
        <v>1.23E-2</v>
      </c>
    </row>
    <row r="102" spans="1:7" x14ac:dyDescent="0.3">
      <c r="A102" s="54">
        <v>43983</v>
      </c>
      <c r="B102" s="45">
        <v>12092.03</v>
      </c>
      <c r="C102" s="45">
        <v>12092.03</v>
      </c>
      <c r="D102" s="45">
        <v>12092.03</v>
      </c>
      <c r="E102" s="45">
        <v>12092.03</v>
      </c>
      <c r="F102" s="18"/>
      <c r="G102" s="22">
        <v>2.53E-2</v>
      </c>
    </row>
    <row r="103" spans="1:7" x14ac:dyDescent="0.3">
      <c r="A103" s="54">
        <v>43984</v>
      </c>
      <c r="B103" s="45">
        <v>12268.95</v>
      </c>
      <c r="C103" s="45">
        <v>12268.95</v>
      </c>
      <c r="D103" s="45">
        <v>12268.95</v>
      </c>
      <c r="E103" s="45">
        <v>12268.95</v>
      </c>
      <c r="F103" s="18"/>
      <c r="G103" s="22">
        <v>1.46E-2</v>
      </c>
    </row>
    <row r="104" spans="1:7" x14ac:dyDescent="0.3">
      <c r="A104" s="54">
        <v>43985</v>
      </c>
      <c r="B104" s="45">
        <v>12369.15</v>
      </c>
      <c r="C104" s="45">
        <v>12369.15</v>
      </c>
      <c r="D104" s="45">
        <v>12369.15</v>
      </c>
      <c r="E104" s="45">
        <v>12369.15</v>
      </c>
      <c r="F104" s="18"/>
      <c r="G104" s="22">
        <v>8.2000000000000007E-3</v>
      </c>
    </row>
    <row r="105" spans="1:7" x14ac:dyDescent="0.3">
      <c r="A105" s="54">
        <v>43986</v>
      </c>
      <c r="B105" s="45">
        <v>12343.37</v>
      </c>
      <c r="C105" s="45">
        <v>12343.37</v>
      </c>
      <c r="D105" s="45">
        <v>12343.37</v>
      </c>
      <c r="E105" s="45">
        <v>12343.37</v>
      </c>
      <c r="F105" s="18"/>
      <c r="G105" s="22">
        <v>-2.0999999999999999E-3</v>
      </c>
    </row>
    <row r="106" spans="1:7" x14ac:dyDescent="0.3">
      <c r="A106" s="54">
        <v>43987</v>
      </c>
      <c r="B106" s="45">
        <v>12514.41</v>
      </c>
      <c r="C106" s="45">
        <v>12514.41</v>
      </c>
      <c r="D106" s="45">
        <v>12514.41</v>
      </c>
      <c r="E106" s="45">
        <v>12514.41</v>
      </c>
      <c r="F106" s="18"/>
      <c r="G106" s="22">
        <v>1.3899999999999999E-2</v>
      </c>
    </row>
    <row r="107" spans="1:7" x14ac:dyDescent="0.3">
      <c r="A107" s="54">
        <v>43990</v>
      </c>
      <c r="B107" s="45">
        <v>12551.5</v>
      </c>
      <c r="C107" s="45">
        <v>12551.5</v>
      </c>
      <c r="D107" s="45">
        <v>12551.5</v>
      </c>
      <c r="E107" s="45">
        <v>12551.5</v>
      </c>
      <c r="F107" s="18"/>
      <c r="G107" s="22">
        <v>3.0000000000000001E-3</v>
      </c>
    </row>
    <row r="108" spans="1:7" x14ac:dyDescent="0.3">
      <c r="A108" s="54">
        <v>43991</v>
      </c>
      <c r="B108" s="45">
        <v>12422.12</v>
      </c>
      <c r="C108" s="45">
        <v>12422.12</v>
      </c>
      <c r="D108" s="45">
        <v>12422.12</v>
      </c>
      <c r="E108" s="45">
        <v>12422.12</v>
      </c>
      <c r="F108" s="18"/>
      <c r="G108" s="22">
        <v>-1.03E-2</v>
      </c>
    </row>
    <row r="109" spans="1:7" x14ac:dyDescent="0.3">
      <c r="A109" s="54">
        <v>43992</v>
      </c>
      <c r="B109" s="45">
        <v>12505.4</v>
      </c>
      <c r="C109" s="45">
        <v>12505.4</v>
      </c>
      <c r="D109" s="45">
        <v>12505.4</v>
      </c>
      <c r="E109" s="45">
        <v>12505.4</v>
      </c>
      <c r="F109" s="18"/>
      <c r="G109" s="22">
        <v>6.7000000000000002E-3</v>
      </c>
    </row>
    <row r="110" spans="1:7" x14ac:dyDescent="0.3">
      <c r="A110" s="54">
        <v>43993</v>
      </c>
      <c r="B110" s="45">
        <v>12270.08</v>
      </c>
      <c r="C110" s="45">
        <v>12270.08</v>
      </c>
      <c r="D110" s="45">
        <v>12270.08</v>
      </c>
      <c r="E110" s="45">
        <v>12270.08</v>
      </c>
      <c r="F110" s="18"/>
      <c r="G110" s="22">
        <v>-1.8800000000000001E-2</v>
      </c>
    </row>
    <row r="111" spans="1:7" x14ac:dyDescent="0.3">
      <c r="A111" s="54">
        <v>43994</v>
      </c>
      <c r="B111" s="45">
        <v>12359.8</v>
      </c>
      <c r="C111" s="45">
        <v>12359.8</v>
      </c>
      <c r="D111" s="45">
        <v>12359.8</v>
      </c>
      <c r="E111" s="45">
        <v>12359.8</v>
      </c>
      <c r="F111" s="18"/>
      <c r="G111" s="22">
        <v>7.3000000000000001E-3</v>
      </c>
    </row>
    <row r="112" spans="1:7" x14ac:dyDescent="0.3">
      <c r="A112" s="54">
        <v>43997</v>
      </c>
      <c r="B112" s="45">
        <v>12193.99</v>
      </c>
      <c r="C112" s="45">
        <v>12193.99</v>
      </c>
      <c r="D112" s="45">
        <v>12193.99</v>
      </c>
      <c r="E112" s="45">
        <v>12193.99</v>
      </c>
      <c r="F112" s="18"/>
      <c r="G112" s="22">
        <v>-1.34E-2</v>
      </c>
    </row>
    <row r="113" spans="1:7" x14ac:dyDescent="0.3">
      <c r="A113" s="54">
        <v>43998</v>
      </c>
      <c r="B113" s="45">
        <v>12293.24</v>
      </c>
      <c r="C113" s="45">
        <v>12293.24</v>
      </c>
      <c r="D113" s="45">
        <v>12293.24</v>
      </c>
      <c r="E113" s="45">
        <v>12293.24</v>
      </c>
      <c r="F113" s="18"/>
      <c r="G113" s="22">
        <v>8.0999999999999996E-3</v>
      </c>
    </row>
    <row r="114" spans="1:7" x14ac:dyDescent="0.3">
      <c r="A114" s="54">
        <v>43999</v>
      </c>
      <c r="B114" s="45">
        <v>12275.42</v>
      </c>
      <c r="C114" s="45">
        <v>12275.42</v>
      </c>
      <c r="D114" s="45">
        <v>12275.42</v>
      </c>
      <c r="E114" s="45">
        <v>12275.42</v>
      </c>
      <c r="F114" s="18"/>
      <c r="G114" s="22">
        <v>-1.4E-3</v>
      </c>
    </row>
    <row r="115" spans="1:7" x14ac:dyDescent="0.3">
      <c r="A115" s="54">
        <v>44000</v>
      </c>
      <c r="B115" s="45">
        <v>12491.6</v>
      </c>
      <c r="C115" s="45">
        <v>12491.6</v>
      </c>
      <c r="D115" s="45">
        <v>12491.6</v>
      </c>
      <c r="E115" s="45">
        <v>12491.6</v>
      </c>
      <c r="F115" s="18"/>
      <c r="G115" s="22">
        <v>1.7600000000000001E-2</v>
      </c>
    </row>
    <row r="116" spans="1:7" x14ac:dyDescent="0.3">
      <c r="A116" s="54">
        <v>44001</v>
      </c>
      <c r="B116" s="45">
        <v>12674.39</v>
      </c>
      <c r="C116" s="45">
        <v>12674.39</v>
      </c>
      <c r="D116" s="45">
        <v>12674.39</v>
      </c>
      <c r="E116" s="45">
        <v>12674.39</v>
      </c>
      <c r="F116" s="18"/>
      <c r="G116" s="22">
        <v>1.46E-2</v>
      </c>
    </row>
    <row r="117" spans="1:7" x14ac:dyDescent="0.3">
      <c r="A117" s="54">
        <v>44004</v>
      </c>
      <c r="B117" s="45">
        <v>12799.59</v>
      </c>
      <c r="C117" s="45">
        <v>12799.59</v>
      </c>
      <c r="D117" s="45">
        <v>12799.59</v>
      </c>
      <c r="E117" s="45">
        <v>12799.59</v>
      </c>
      <c r="F117" s="18"/>
      <c r="G117" s="22">
        <v>9.9000000000000008E-3</v>
      </c>
    </row>
    <row r="118" spans="1:7" x14ac:dyDescent="0.3">
      <c r="A118" s="54">
        <v>44005</v>
      </c>
      <c r="B118" s="45">
        <v>13002.86</v>
      </c>
      <c r="C118" s="45">
        <v>13002.86</v>
      </c>
      <c r="D118" s="45">
        <v>13002.86</v>
      </c>
      <c r="E118" s="45">
        <v>13002.86</v>
      </c>
      <c r="F118" s="18"/>
      <c r="G118" s="22">
        <v>1.5900000000000001E-2</v>
      </c>
    </row>
    <row r="119" spans="1:7" x14ac:dyDescent="0.3">
      <c r="A119" s="54">
        <v>44006</v>
      </c>
      <c r="B119" s="45">
        <v>12814.6</v>
      </c>
      <c r="C119" s="45">
        <v>12814.6</v>
      </c>
      <c r="D119" s="45">
        <v>12814.6</v>
      </c>
      <c r="E119" s="45">
        <v>12814.6</v>
      </c>
      <c r="F119" s="18"/>
      <c r="G119" s="22">
        <v>-1.4500000000000001E-2</v>
      </c>
    </row>
    <row r="120" spans="1:7" x14ac:dyDescent="0.3">
      <c r="A120" s="54">
        <v>44007</v>
      </c>
      <c r="B120" s="45">
        <v>12820.09</v>
      </c>
      <c r="C120" s="45">
        <v>12820.09</v>
      </c>
      <c r="D120" s="45">
        <v>12820.09</v>
      </c>
      <c r="E120" s="45">
        <v>12820.09</v>
      </c>
      <c r="F120" s="18"/>
      <c r="G120" s="22">
        <v>4.0000000000000002E-4</v>
      </c>
    </row>
    <row r="121" spans="1:7" x14ac:dyDescent="0.3">
      <c r="A121" s="54">
        <v>44008</v>
      </c>
      <c r="B121" s="45">
        <v>12909.57</v>
      </c>
      <c r="C121" s="45">
        <v>12909.57</v>
      </c>
      <c r="D121" s="45">
        <v>12909.57</v>
      </c>
      <c r="E121" s="45">
        <v>12909.57</v>
      </c>
      <c r="F121" s="18"/>
      <c r="G121" s="22">
        <v>7.0000000000000001E-3</v>
      </c>
    </row>
    <row r="122" spans="1:7" x14ac:dyDescent="0.3">
      <c r="A122" s="54">
        <v>44011</v>
      </c>
      <c r="B122" s="45">
        <v>12803.28</v>
      </c>
      <c r="C122" s="45">
        <v>12803.28</v>
      </c>
      <c r="D122" s="45">
        <v>12803.28</v>
      </c>
      <c r="E122" s="45">
        <v>12803.28</v>
      </c>
      <c r="F122" s="18"/>
      <c r="G122" s="22">
        <v>-8.2000000000000007E-3</v>
      </c>
    </row>
    <row r="123" spans="1:7" x14ac:dyDescent="0.3">
      <c r="A123" s="54">
        <v>44012</v>
      </c>
      <c r="B123" s="45">
        <v>12783.45</v>
      </c>
      <c r="C123" s="45">
        <v>12783.45</v>
      </c>
      <c r="D123" s="45">
        <v>12783.45</v>
      </c>
      <c r="E123" s="45">
        <v>12783.45</v>
      </c>
      <c r="F123" s="18"/>
      <c r="G123" s="22">
        <v>-1.5E-3</v>
      </c>
    </row>
    <row r="124" spans="1:7" x14ac:dyDescent="0.3">
      <c r="A124" s="54">
        <v>44013</v>
      </c>
      <c r="B124" s="45">
        <v>12904.08</v>
      </c>
      <c r="C124" s="45">
        <v>12904.08</v>
      </c>
      <c r="D124" s="45">
        <v>12904.08</v>
      </c>
      <c r="E124" s="45">
        <v>12904.08</v>
      </c>
      <c r="F124" s="18"/>
      <c r="G124" s="22">
        <v>9.4000000000000004E-3</v>
      </c>
    </row>
    <row r="125" spans="1:7" x14ac:dyDescent="0.3">
      <c r="A125" s="54">
        <v>44014</v>
      </c>
      <c r="B125" s="45">
        <v>13050.9</v>
      </c>
      <c r="C125" s="45">
        <v>13050.9</v>
      </c>
      <c r="D125" s="45">
        <v>13050.9</v>
      </c>
      <c r="E125" s="45">
        <v>13050.9</v>
      </c>
      <c r="F125" s="18"/>
      <c r="G125" s="22">
        <v>1.14E-2</v>
      </c>
    </row>
    <row r="126" spans="1:7" x14ac:dyDescent="0.3">
      <c r="A126" s="54">
        <v>44015</v>
      </c>
      <c r="B126" s="45">
        <v>13123.96</v>
      </c>
      <c r="C126" s="45">
        <v>13123.96</v>
      </c>
      <c r="D126" s="45">
        <v>13123.96</v>
      </c>
      <c r="E126" s="45">
        <v>13123.96</v>
      </c>
      <c r="F126" s="18"/>
      <c r="G126" s="22">
        <v>5.5999999999999999E-3</v>
      </c>
    </row>
    <row r="127" spans="1:7" x14ac:dyDescent="0.3">
      <c r="A127" s="54">
        <v>44018</v>
      </c>
      <c r="B127" s="45">
        <v>13304.7</v>
      </c>
      <c r="C127" s="45">
        <v>13304.7</v>
      </c>
      <c r="D127" s="45">
        <v>13304.7</v>
      </c>
      <c r="E127" s="45">
        <v>13304.7</v>
      </c>
      <c r="F127" s="18"/>
      <c r="G127" s="22">
        <v>1.38E-2</v>
      </c>
    </row>
    <row r="128" spans="1:7" x14ac:dyDescent="0.3">
      <c r="A128" s="54">
        <v>44019</v>
      </c>
      <c r="B128" s="45">
        <v>13356.96</v>
      </c>
      <c r="C128" s="45">
        <v>13356.96</v>
      </c>
      <c r="D128" s="45">
        <v>13356.96</v>
      </c>
      <c r="E128" s="45">
        <v>13356.96</v>
      </c>
      <c r="F128" s="18"/>
      <c r="G128" s="22">
        <v>3.8999999999999998E-3</v>
      </c>
    </row>
    <row r="129" spans="1:7" x14ac:dyDescent="0.3">
      <c r="A129" s="54">
        <v>44020</v>
      </c>
      <c r="B129" s="45">
        <v>13258.49</v>
      </c>
      <c r="C129" s="45">
        <v>13258.49</v>
      </c>
      <c r="D129" s="45">
        <v>13258.49</v>
      </c>
      <c r="E129" s="45">
        <v>13258.49</v>
      </c>
      <c r="F129" s="18"/>
      <c r="G129" s="22">
        <v>-7.4000000000000003E-3</v>
      </c>
    </row>
    <row r="130" spans="1:7" x14ac:dyDescent="0.3">
      <c r="A130" s="54">
        <v>44021</v>
      </c>
      <c r="B130" s="45">
        <v>13366.65</v>
      </c>
      <c r="C130" s="45">
        <v>13366.65</v>
      </c>
      <c r="D130" s="45">
        <v>13366.65</v>
      </c>
      <c r="E130" s="45">
        <v>13366.65</v>
      </c>
      <c r="F130" s="18"/>
      <c r="G130" s="22">
        <v>8.2000000000000007E-3</v>
      </c>
    </row>
    <row r="131" spans="1:7" x14ac:dyDescent="0.3">
      <c r="A131" s="54">
        <v>44022</v>
      </c>
      <c r="B131" s="45">
        <v>13309.97</v>
      </c>
      <c r="C131" s="45">
        <v>13309.97</v>
      </c>
      <c r="D131" s="45">
        <v>13309.97</v>
      </c>
      <c r="E131" s="45">
        <v>13309.97</v>
      </c>
      <c r="F131" s="18"/>
      <c r="G131" s="22">
        <v>-4.1999999999999997E-3</v>
      </c>
    </row>
    <row r="132" spans="1:7" x14ac:dyDescent="0.3">
      <c r="A132" s="54">
        <v>44025</v>
      </c>
      <c r="B132" s="45">
        <v>13341.27</v>
      </c>
      <c r="C132" s="45">
        <v>13341.27</v>
      </c>
      <c r="D132" s="45">
        <v>13341.27</v>
      </c>
      <c r="E132" s="45">
        <v>13341.27</v>
      </c>
      <c r="F132" s="18"/>
      <c r="G132" s="22">
        <v>2.3999999999999998E-3</v>
      </c>
    </row>
    <row r="133" spans="1:7" x14ac:dyDescent="0.3">
      <c r="A133" s="54">
        <v>44026</v>
      </c>
      <c r="B133" s="45">
        <v>13129.11</v>
      </c>
      <c r="C133" s="45">
        <v>13129.11</v>
      </c>
      <c r="D133" s="45">
        <v>13129.11</v>
      </c>
      <c r="E133" s="45">
        <v>13129.11</v>
      </c>
      <c r="F133" s="18"/>
      <c r="G133" s="22">
        <v>-1.5900000000000001E-2</v>
      </c>
    </row>
    <row r="134" spans="1:7" x14ac:dyDescent="0.3">
      <c r="A134" s="54">
        <v>44027</v>
      </c>
      <c r="B134" s="45">
        <v>13124.91</v>
      </c>
      <c r="C134" s="45">
        <v>13124.91</v>
      </c>
      <c r="D134" s="45">
        <v>13124.91</v>
      </c>
      <c r="E134" s="45">
        <v>13124.91</v>
      </c>
      <c r="F134" s="18"/>
      <c r="G134" s="22">
        <v>-2.9999999999999997E-4</v>
      </c>
    </row>
    <row r="135" spans="1:7" x14ac:dyDescent="0.3">
      <c r="A135" s="54">
        <v>44028</v>
      </c>
      <c r="B135" s="45">
        <v>13243.11</v>
      </c>
      <c r="C135" s="45">
        <v>13243.11</v>
      </c>
      <c r="D135" s="45">
        <v>13243.11</v>
      </c>
      <c r="E135" s="45">
        <v>13243.11</v>
      </c>
      <c r="F135" s="18"/>
      <c r="G135" s="22">
        <v>8.9999999999999993E-3</v>
      </c>
    </row>
    <row r="136" spans="1:7" x14ac:dyDescent="0.3">
      <c r="A136" s="54">
        <v>44029</v>
      </c>
      <c r="B136" s="45">
        <v>13437.95</v>
      </c>
      <c r="C136" s="45">
        <v>13437.95</v>
      </c>
      <c r="D136" s="45">
        <v>13437.95</v>
      </c>
      <c r="E136" s="45">
        <v>13437.95</v>
      </c>
      <c r="F136" s="18"/>
      <c r="G136" s="22">
        <v>1.47E-2</v>
      </c>
    </row>
    <row r="137" spans="1:7" x14ac:dyDescent="0.3">
      <c r="A137" s="54">
        <v>44032</v>
      </c>
      <c r="B137" s="45">
        <v>13573.78</v>
      </c>
      <c r="C137" s="45">
        <v>13573.78</v>
      </c>
      <c r="D137" s="45">
        <v>13573.78</v>
      </c>
      <c r="E137" s="45">
        <v>13573.78</v>
      </c>
      <c r="F137" s="18"/>
      <c r="G137" s="22">
        <v>1.01E-2</v>
      </c>
    </row>
    <row r="138" spans="1:7" x14ac:dyDescent="0.3">
      <c r="A138" s="54">
        <v>44033</v>
      </c>
      <c r="B138" s="45">
        <v>13702.98</v>
      </c>
      <c r="C138" s="45">
        <v>13702.98</v>
      </c>
      <c r="D138" s="45">
        <v>13702.98</v>
      </c>
      <c r="E138" s="45">
        <v>13702.98</v>
      </c>
      <c r="F138" s="18"/>
      <c r="G138" s="22">
        <v>9.4999999999999998E-3</v>
      </c>
    </row>
    <row r="139" spans="1:7" x14ac:dyDescent="0.3">
      <c r="A139" s="54">
        <v>44034</v>
      </c>
      <c r="B139" s="45">
        <v>13666.9</v>
      </c>
      <c r="C139" s="45">
        <v>13666.9</v>
      </c>
      <c r="D139" s="45">
        <v>13666.9</v>
      </c>
      <c r="E139" s="45">
        <v>13666.9</v>
      </c>
      <c r="F139" s="18"/>
      <c r="G139" s="22">
        <v>-2.5999999999999999E-3</v>
      </c>
    </row>
    <row r="140" spans="1:7" x14ac:dyDescent="0.3">
      <c r="A140" s="54">
        <v>44035</v>
      </c>
      <c r="B140" s="45">
        <v>13770.13</v>
      </c>
      <c r="C140" s="45">
        <v>13770.13</v>
      </c>
      <c r="D140" s="45">
        <v>13770.13</v>
      </c>
      <c r="E140" s="45">
        <v>13770.13</v>
      </c>
      <c r="F140" s="18"/>
      <c r="G140" s="22">
        <v>7.6E-3</v>
      </c>
    </row>
    <row r="141" spans="1:7" x14ac:dyDescent="0.3">
      <c r="A141" s="54">
        <v>44036</v>
      </c>
      <c r="B141" s="45">
        <v>13727.72</v>
      </c>
      <c r="C141" s="45">
        <v>13727.72</v>
      </c>
      <c r="D141" s="45">
        <v>13727.72</v>
      </c>
      <c r="E141" s="45">
        <v>13727.72</v>
      </c>
      <c r="F141" s="18"/>
      <c r="G141" s="22">
        <v>-3.0999999999999999E-3</v>
      </c>
    </row>
    <row r="142" spans="1:7" x14ac:dyDescent="0.3">
      <c r="A142" s="54">
        <v>44039</v>
      </c>
      <c r="B142" s="45">
        <v>13635.55</v>
      </c>
      <c r="C142" s="45">
        <v>13635.55</v>
      </c>
      <c r="D142" s="45">
        <v>13635.55</v>
      </c>
      <c r="E142" s="45">
        <v>13635.55</v>
      </c>
      <c r="F142" s="18"/>
      <c r="G142" s="22">
        <v>-6.7000000000000002E-3</v>
      </c>
    </row>
    <row r="143" spans="1:7" x14ac:dyDescent="0.3">
      <c r="A143" s="54">
        <v>44040</v>
      </c>
      <c r="B143" s="45">
        <v>13812.2</v>
      </c>
      <c r="C143" s="45">
        <v>13812.2</v>
      </c>
      <c r="D143" s="45">
        <v>13812.2</v>
      </c>
      <c r="E143" s="45">
        <v>13812.2</v>
      </c>
      <c r="F143" s="18"/>
      <c r="G143" s="22">
        <v>1.2999999999999999E-2</v>
      </c>
    </row>
    <row r="144" spans="1:7" x14ac:dyDescent="0.3">
      <c r="A144" s="54">
        <v>44041</v>
      </c>
      <c r="B144" s="45">
        <v>13743.53</v>
      </c>
      <c r="C144" s="45">
        <v>13743.53</v>
      </c>
      <c r="D144" s="45">
        <v>13743.53</v>
      </c>
      <c r="E144" s="45">
        <v>13743.53</v>
      </c>
      <c r="F144" s="18"/>
      <c r="G144" s="22">
        <v>-5.0000000000000001E-3</v>
      </c>
    </row>
    <row r="145" spans="1:7" x14ac:dyDescent="0.3">
      <c r="A145" s="54">
        <v>44042</v>
      </c>
      <c r="B145" s="45">
        <v>13648.72</v>
      </c>
      <c r="C145" s="45">
        <v>13648.72</v>
      </c>
      <c r="D145" s="45">
        <v>13648.72</v>
      </c>
      <c r="E145" s="45">
        <v>13648.72</v>
      </c>
      <c r="F145" s="18"/>
      <c r="G145" s="22">
        <v>-6.8999999999999999E-3</v>
      </c>
    </row>
    <row r="146" spans="1:7" x14ac:dyDescent="0.3">
      <c r="A146" s="54">
        <v>44043</v>
      </c>
      <c r="B146" s="45">
        <v>13654.79</v>
      </c>
      <c r="C146" s="45">
        <v>13654.79</v>
      </c>
      <c r="D146" s="45">
        <v>13654.79</v>
      </c>
      <c r="E146" s="45">
        <v>13654.79</v>
      </c>
      <c r="F146" s="18"/>
      <c r="G146" s="22">
        <v>4.0000000000000002E-4</v>
      </c>
    </row>
    <row r="147" spans="1:7" x14ac:dyDescent="0.3">
      <c r="A147" s="54">
        <v>44046</v>
      </c>
      <c r="B147" s="45">
        <v>13499.05</v>
      </c>
      <c r="C147" s="45">
        <v>13499.05</v>
      </c>
      <c r="D147" s="45">
        <v>13499.05</v>
      </c>
      <c r="E147" s="45">
        <v>13499.05</v>
      </c>
      <c r="F147" s="18"/>
      <c r="G147" s="22">
        <v>-1.14E-2</v>
      </c>
    </row>
    <row r="148" spans="1:7" x14ac:dyDescent="0.3">
      <c r="A148" s="54">
        <v>44047</v>
      </c>
      <c r="B148" s="45">
        <v>13715.13</v>
      </c>
      <c r="C148" s="45">
        <v>13715.13</v>
      </c>
      <c r="D148" s="45">
        <v>13715.13</v>
      </c>
      <c r="E148" s="45">
        <v>13715.13</v>
      </c>
      <c r="F148" s="18"/>
      <c r="G148" s="22">
        <v>1.6E-2</v>
      </c>
    </row>
    <row r="149" spans="1:7" x14ac:dyDescent="0.3">
      <c r="A149" s="54">
        <v>44048</v>
      </c>
      <c r="B149" s="45">
        <v>13738.57</v>
      </c>
      <c r="C149" s="45">
        <v>13738.57</v>
      </c>
      <c r="D149" s="45">
        <v>13738.57</v>
      </c>
      <c r="E149" s="45">
        <v>13738.57</v>
      </c>
      <c r="F149" s="18"/>
      <c r="G149" s="22">
        <v>1.6999999999999999E-3</v>
      </c>
    </row>
    <row r="150" spans="1:7" x14ac:dyDescent="0.3">
      <c r="A150" s="54">
        <v>44049</v>
      </c>
      <c r="B150" s="45">
        <v>13862.69</v>
      </c>
      <c r="C150" s="45">
        <v>13862.69</v>
      </c>
      <c r="D150" s="45">
        <v>13862.69</v>
      </c>
      <c r="E150" s="45">
        <v>13862.69</v>
      </c>
      <c r="F150" s="18"/>
      <c r="G150" s="22">
        <v>8.9999999999999993E-3</v>
      </c>
    </row>
    <row r="151" spans="1:7" x14ac:dyDescent="0.3">
      <c r="A151" s="54">
        <v>44050</v>
      </c>
      <c r="B151" s="45">
        <v>13907.39</v>
      </c>
      <c r="C151" s="45">
        <v>13907.39</v>
      </c>
      <c r="D151" s="45">
        <v>13907.39</v>
      </c>
      <c r="E151" s="45">
        <v>13907.39</v>
      </c>
      <c r="F151" s="18"/>
      <c r="G151" s="22">
        <v>3.2000000000000002E-3</v>
      </c>
    </row>
    <row r="152" spans="1:7" x14ac:dyDescent="0.3">
      <c r="A152" s="54">
        <v>44053</v>
      </c>
      <c r="B152" s="45">
        <v>14013.13</v>
      </c>
      <c r="C152" s="45">
        <v>14013.13</v>
      </c>
      <c r="D152" s="45">
        <v>14013.13</v>
      </c>
      <c r="E152" s="45">
        <v>14013.13</v>
      </c>
      <c r="F152" s="18"/>
      <c r="G152" s="22">
        <v>7.6E-3</v>
      </c>
    </row>
    <row r="153" spans="1:7" x14ac:dyDescent="0.3">
      <c r="A153" s="54">
        <v>44054</v>
      </c>
      <c r="B153" s="45">
        <v>14047.06</v>
      </c>
      <c r="C153" s="45">
        <v>14047.06</v>
      </c>
      <c r="D153" s="45">
        <v>14047.06</v>
      </c>
      <c r="E153" s="45">
        <v>14047.06</v>
      </c>
      <c r="F153" s="18"/>
      <c r="G153" s="22">
        <v>2.3999999999999998E-3</v>
      </c>
    </row>
    <row r="154" spans="1:7" x14ac:dyDescent="0.3">
      <c r="A154" s="54">
        <v>44055</v>
      </c>
      <c r="B154" s="45">
        <v>14037.7</v>
      </c>
      <c r="C154" s="45">
        <v>14037.7</v>
      </c>
      <c r="D154" s="45">
        <v>14037.7</v>
      </c>
      <c r="E154" s="45">
        <v>14037.7</v>
      </c>
      <c r="F154" s="18"/>
      <c r="G154" s="22">
        <v>-6.9999999999999999E-4</v>
      </c>
    </row>
    <row r="155" spans="1:7" x14ac:dyDescent="0.3">
      <c r="A155" s="54">
        <v>44056</v>
      </c>
      <c r="B155" s="45">
        <v>14077.17</v>
      </c>
      <c r="C155" s="45">
        <v>14077.17</v>
      </c>
      <c r="D155" s="45">
        <v>14077.17</v>
      </c>
      <c r="E155" s="45">
        <v>14077.17</v>
      </c>
      <c r="F155" s="18"/>
      <c r="G155" s="22">
        <v>2.8E-3</v>
      </c>
    </row>
    <row r="156" spans="1:7" x14ac:dyDescent="0.3">
      <c r="A156" s="54">
        <v>44057</v>
      </c>
      <c r="B156" s="45">
        <v>13935.92</v>
      </c>
      <c r="C156" s="45">
        <v>13935.92</v>
      </c>
      <c r="D156" s="45">
        <v>13935.92</v>
      </c>
      <c r="E156" s="45">
        <v>13935.92</v>
      </c>
      <c r="F156" s="18"/>
      <c r="G156" s="22">
        <v>-0.01</v>
      </c>
    </row>
    <row r="157" spans="1:7" x14ac:dyDescent="0.3">
      <c r="A157" s="54">
        <v>44060</v>
      </c>
      <c r="B157" s="45">
        <v>14017.08</v>
      </c>
      <c r="C157" s="45">
        <v>14017.08</v>
      </c>
      <c r="D157" s="45">
        <v>14017.08</v>
      </c>
      <c r="E157" s="45">
        <v>14017.08</v>
      </c>
      <c r="F157" s="18"/>
      <c r="G157" s="22">
        <v>5.7999999999999996E-3</v>
      </c>
    </row>
    <row r="158" spans="1:7" x14ac:dyDescent="0.3">
      <c r="A158" s="54">
        <v>44061</v>
      </c>
      <c r="B158" s="45">
        <v>14189.88</v>
      </c>
      <c r="C158" s="45">
        <v>14189.88</v>
      </c>
      <c r="D158" s="45">
        <v>14189.88</v>
      </c>
      <c r="E158" s="45">
        <v>14189.88</v>
      </c>
      <c r="F158" s="18"/>
      <c r="G158" s="22">
        <v>1.23E-2</v>
      </c>
    </row>
    <row r="159" spans="1:7" x14ac:dyDescent="0.3">
      <c r="A159" s="54">
        <v>44062</v>
      </c>
      <c r="B159" s="45">
        <v>14237.02</v>
      </c>
      <c r="C159" s="45">
        <v>14237.02</v>
      </c>
      <c r="D159" s="45">
        <v>14237.02</v>
      </c>
      <c r="E159" s="45">
        <v>14237.02</v>
      </c>
      <c r="F159" s="18"/>
      <c r="G159" s="22">
        <v>3.3E-3</v>
      </c>
    </row>
    <row r="160" spans="1:7" x14ac:dyDescent="0.3">
      <c r="A160" s="54">
        <v>44063</v>
      </c>
      <c r="B160" s="45">
        <v>14171.02</v>
      </c>
      <c r="C160" s="45">
        <v>14171.02</v>
      </c>
      <c r="D160" s="45">
        <v>14171.02</v>
      </c>
      <c r="E160" s="45">
        <v>14171.02</v>
      </c>
      <c r="F160" s="18"/>
      <c r="G160" s="22">
        <v>-4.5999999999999999E-3</v>
      </c>
    </row>
    <row r="161" spans="1:7" x14ac:dyDescent="0.3">
      <c r="A161" s="54">
        <v>44064</v>
      </c>
      <c r="B161" s="45">
        <v>14254.38</v>
      </c>
      <c r="C161" s="45">
        <v>14254.38</v>
      </c>
      <c r="D161" s="45">
        <v>14254.38</v>
      </c>
      <c r="E161" s="45">
        <v>14254.38</v>
      </c>
      <c r="F161" s="18"/>
      <c r="G161" s="22">
        <v>5.8999999999999999E-3</v>
      </c>
    </row>
    <row r="162" spans="1:7" x14ac:dyDescent="0.3">
      <c r="A162" s="54">
        <v>44067</v>
      </c>
      <c r="B162" s="45">
        <v>14367.48</v>
      </c>
      <c r="C162" s="45">
        <v>14367.48</v>
      </c>
      <c r="D162" s="45">
        <v>14367.48</v>
      </c>
      <c r="E162" s="45">
        <v>14367.48</v>
      </c>
      <c r="F162" s="18"/>
      <c r="G162" s="22">
        <v>7.9000000000000008E-3</v>
      </c>
    </row>
    <row r="163" spans="1:7" x14ac:dyDescent="0.3">
      <c r="A163" s="54">
        <v>44068</v>
      </c>
      <c r="B163" s="45">
        <v>14383.96</v>
      </c>
      <c r="C163" s="45">
        <v>14383.96</v>
      </c>
      <c r="D163" s="45">
        <v>14383.96</v>
      </c>
      <c r="E163" s="45">
        <v>14383.96</v>
      </c>
      <c r="F163" s="18"/>
      <c r="G163" s="22">
        <v>1.1000000000000001E-3</v>
      </c>
    </row>
    <row r="164" spans="1:7" x14ac:dyDescent="0.3">
      <c r="A164" s="54">
        <v>44069</v>
      </c>
      <c r="B164" s="45">
        <v>14474.1</v>
      </c>
      <c r="C164" s="45">
        <v>14474.1</v>
      </c>
      <c r="D164" s="45">
        <v>14474.1</v>
      </c>
      <c r="E164" s="45">
        <v>14474.1</v>
      </c>
      <c r="F164" s="18"/>
      <c r="G164" s="22">
        <v>6.3E-3</v>
      </c>
    </row>
    <row r="165" spans="1:7" x14ac:dyDescent="0.3">
      <c r="A165" s="54">
        <v>44070</v>
      </c>
      <c r="B165" s="45">
        <v>14494.78</v>
      </c>
      <c r="C165" s="45">
        <v>14494.78</v>
      </c>
      <c r="D165" s="45">
        <v>14494.78</v>
      </c>
      <c r="E165" s="45">
        <v>14494.78</v>
      </c>
      <c r="F165" s="18"/>
      <c r="G165" s="22">
        <v>1.4E-3</v>
      </c>
    </row>
    <row r="166" spans="1:7" x14ac:dyDescent="0.3">
      <c r="A166" s="54">
        <v>44071</v>
      </c>
      <c r="B166" s="45">
        <v>14586.35</v>
      </c>
      <c r="C166" s="45">
        <v>14586.35</v>
      </c>
      <c r="D166" s="45">
        <v>14586.35</v>
      </c>
      <c r="E166" s="45">
        <v>14586.35</v>
      </c>
      <c r="F166" s="18"/>
      <c r="G166" s="22">
        <v>6.3E-3</v>
      </c>
    </row>
    <row r="167" spans="1:7" x14ac:dyDescent="0.3">
      <c r="A167" s="54">
        <v>44074</v>
      </c>
      <c r="B167" s="45">
        <v>14179.34</v>
      </c>
      <c r="C167" s="45">
        <v>14179.34</v>
      </c>
      <c r="D167" s="45">
        <v>14179.34</v>
      </c>
      <c r="E167" s="45">
        <v>14179.34</v>
      </c>
      <c r="F167" s="18"/>
      <c r="G167" s="22">
        <v>-2.7900000000000001E-2</v>
      </c>
    </row>
    <row r="168" spans="1:7" x14ac:dyDescent="0.3">
      <c r="A168" s="54">
        <v>44075</v>
      </c>
      <c r="B168" s="45">
        <v>14285.55</v>
      </c>
      <c r="C168" s="45">
        <v>14285.55</v>
      </c>
      <c r="D168" s="45">
        <v>14285.55</v>
      </c>
      <c r="E168" s="45">
        <v>14285.55</v>
      </c>
      <c r="F168" s="18"/>
      <c r="G168" s="22">
        <v>7.4999999999999997E-3</v>
      </c>
    </row>
    <row r="169" spans="1:7" x14ac:dyDescent="0.3">
      <c r="A169" s="54">
        <v>44076</v>
      </c>
      <c r="B169" s="45">
        <v>14402.98</v>
      </c>
      <c r="C169" s="45">
        <v>14402.98</v>
      </c>
      <c r="D169" s="45">
        <v>14402.98</v>
      </c>
      <c r="E169" s="45">
        <v>14402.98</v>
      </c>
      <c r="F169" s="18"/>
      <c r="G169" s="22">
        <v>8.2000000000000007E-3</v>
      </c>
    </row>
    <row r="170" spans="1:7" x14ac:dyDescent="0.3">
      <c r="A170" s="54">
        <v>44077</v>
      </c>
      <c r="B170" s="45">
        <v>14427.92</v>
      </c>
      <c r="C170" s="45">
        <v>14427.92</v>
      </c>
      <c r="D170" s="45">
        <v>14427.92</v>
      </c>
      <c r="E170" s="45">
        <v>14427.92</v>
      </c>
      <c r="F170" s="18"/>
      <c r="G170" s="22">
        <v>1.6999999999999999E-3</v>
      </c>
    </row>
    <row r="171" spans="1:7" x14ac:dyDescent="0.3">
      <c r="A171" s="54">
        <v>44078</v>
      </c>
      <c r="B171" s="45">
        <v>14190.8</v>
      </c>
      <c r="C171" s="45">
        <v>14190.8</v>
      </c>
      <c r="D171" s="45">
        <v>14190.8</v>
      </c>
      <c r="E171" s="45">
        <v>14190.8</v>
      </c>
      <c r="F171" s="18"/>
      <c r="G171" s="22">
        <v>-1.6400000000000001E-2</v>
      </c>
    </row>
    <row r="172" spans="1:7" x14ac:dyDescent="0.3">
      <c r="A172" s="54">
        <v>44081</v>
      </c>
      <c r="B172" s="45">
        <v>14192.59</v>
      </c>
      <c r="C172" s="45">
        <v>14192.59</v>
      </c>
      <c r="D172" s="45">
        <v>14192.59</v>
      </c>
      <c r="E172" s="45">
        <v>14192.59</v>
      </c>
      <c r="F172" s="18"/>
      <c r="G172" s="22">
        <v>1E-4</v>
      </c>
    </row>
    <row r="173" spans="1:7" x14ac:dyDescent="0.3">
      <c r="A173" s="54">
        <v>44082</v>
      </c>
      <c r="B173" s="45">
        <v>14118.09</v>
      </c>
      <c r="C173" s="45">
        <v>14118.09</v>
      </c>
      <c r="D173" s="45">
        <v>14118.09</v>
      </c>
      <c r="E173" s="45">
        <v>14118.09</v>
      </c>
      <c r="F173" s="18"/>
      <c r="G173" s="22">
        <v>-5.1999999999999998E-3</v>
      </c>
    </row>
    <row r="174" spans="1:7" x14ac:dyDescent="0.3">
      <c r="A174" s="54">
        <v>44083</v>
      </c>
      <c r="B174" s="45">
        <v>14058.29</v>
      </c>
      <c r="C174" s="45">
        <v>14058.29</v>
      </c>
      <c r="D174" s="45">
        <v>14058.29</v>
      </c>
      <c r="E174" s="45">
        <v>14058.29</v>
      </c>
      <c r="F174" s="18"/>
      <c r="G174" s="22">
        <v>-4.1999999999999997E-3</v>
      </c>
    </row>
    <row r="175" spans="1:7" x14ac:dyDescent="0.3">
      <c r="A175" s="54">
        <v>44084</v>
      </c>
      <c r="B175" s="45">
        <v>14255.36</v>
      </c>
      <c r="C175" s="45">
        <v>14255.36</v>
      </c>
      <c r="D175" s="45">
        <v>14255.36</v>
      </c>
      <c r="E175" s="45">
        <v>14255.36</v>
      </c>
      <c r="F175" s="18"/>
      <c r="G175" s="22">
        <v>1.4E-2</v>
      </c>
    </row>
    <row r="176" spans="1:7" x14ac:dyDescent="0.3">
      <c r="A176" s="54">
        <v>44085</v>
      </c>
      <c r="B176" s="45">
        <v>14295.07</v>
      </c>
      <c r="C176" s="45">
        <v>14295.07</v>
      </c>
      <c r="D176" s="45">
        <v>14295.07</v>
      </c>
      <c r="E176" s="45">
        <v>14295.07</v>
      </c>
      <c r="F176" s="18"/>
      <c r="G176" s="22">
        <v>2.8E-3</v>
      </c>
    </row>
    <row r="177" spans="1:7" x14ac:dyDescent="0.3">
      <c r="A177" s="54">
        <v>44088</v>
      </c>
      <c r="B177" s="45">
        <v>14366.63</v>
      </c>
      <c r="C177" s="45">
        <v>14366.63</v>
      </c>
      <c r="D177" s="45">
        <v>14366.63</v>
      </c>
      <c r="E177" s="45">
        <v>14366.63</v>
      </c>
      <c r="F177" s="18"/>
      <c r="G177" s="22">
        <v>5.0000000000000001E-3</v>
      </c>
    </row>
    <row r="178" spans="1:7" x14ac:dyDescent="0.3">
      <c r="A178" s="54">
        <v>44089</v>
      </c>
      <c r="B178" s="45">
        <v>14488.25</v>
      </c>
      <c r="C178" s="45">
        <v>14488.25</v>
      </c>
      <c r="D178" s="45">
        <v>14488.25</v>
      </c>
      <c r="E178" s="45">
        <v>14488.25</v>
      </c>
      <c r="F178" s="18"/>
      <c r="G178" s="22">
        <v>8.5000000000000006E-3</v>
      </c>
    </row>
    <row r="179" spans="1:7" x14ac:dyDescent="0.3">
      <c r="A179" s="54">
        <v>44090</v>
      </c>
      <c r="B179" s="45">
        <v>14578.07</v>
      </c>
      <c r="C179" s="45">
        <v>14578.07</v>
      </c>
      <c r="D179" s="45">
        <v>14578.07</v>
      </c>
      <c r="E179" s="45">
        <v>14578.07</v>
      </c>
      <c r="F179" s="18"/>
      <c r="G179" s="22">
        <v>6.1999999999999998E-3</v>
      </c>
    </row>
    <row r="180" spans="1:7" x14ac:dyDescent="0.3">
      <c r="A180" s="54">
        <v>44091</v>
      </c>
      <c r="B180" s="45">
        <v>14479.79</v>
      </c>
      <c r="C180" s="45">
        <v>14479.79</v>
      </c>
      <c r="D180" s="45">
        <v>14479.79</v>
      </c>
      <c r="E180" s="45">
        <v>14479.79</v>
      </c>
      <c r="F180" s="18"/>
      <c r="G180" s="22">
        <v>-6.7000000000000002E-3</v>
      </c>
    </row>
    <row r="181" spans="1:7" x14ac:dyDescent="0.3">
      <c r="A181" s="54">
        <v>44092</v>
      </c>
      <c r="B181" s="45">
        <v>14468.91</v>
      </c>
      <c r="C181" s="45">
        <v>14468.91</v>
      </c>
      <c r="D181" s="45">
        <v>14468.91</v>
      </c>
      <c r="E181" s="45">
        <v>14468.91</v>
      </c>
      <c r="F181" s="18"/>
      <c r="G181" s="22">
        <v>-8.0000000000000004E-4</v>
      </c>
    </row>
    <row r="182" spans="1:7" x14ac:dyDescent="0.3">
      <c r="A182" s="54">
        <v>44095</v>
      </c>
      <c r="B182" s="45">
        <v>14096.2</v>
      </c>
      <c r="C182" s="45">
        <v>14096.2</v>
      </c>
      <c r="D182" s="45">
        <v>14096.2</v>
      </c>
      <c r="E182" s="45">
        <v>14096.2</v>
      </c>
      <c r="F182" s="18"/>
      <c r="G182" s="22">
        <v>-2.58E-2</v>
      </c>
    </row>
    <row r="183" spans="1:7" x14ac:dyDescent="0.3">
      <c r="A183" s="54">
        <v>44096</v>
      </c>
      <c r="B183" s="45">
        <v>13946.28</v>
      </c>
      <c r="C183" s="45">
        <v>13946.28</v>
      </c>
      <c r="D183" s="45">
        <v>13946.28</v>
      </c>
      <c r="E183" s="45">
        <v>13946.28</v>
      </c>
      <c r="F183" s="18"/>
      <c r="G183" s="22">
        <v>-1.06E-2</v>
      </c>
    </row>
    <row r="184" spans="1:7" x14ac:dyDescent="0.3">
      <c r="A184" s="54">
        <v>44097</v>
      </c>
      <c r="B184" s="45">
        <v>13916.67</v>
      </c>
      <c r="C184" s="45">
        <v>13916.67</v>
      </c>
      <c r="D184" s="45">
        <v>13916.67</v>
      </c>
      <c r="E184" s="45">
        <v>13916.67</v>
      </c>
      <c r="F184" s="18"/>
      <c r="G184" s="22">
        <v>-2.0999999999999999E-3</v>
      </c>
    </row>
    <row r="185" spans="1:7" x14ac:dyDescent="0.3">
      <c r="A185" s="54">
        <v>44098</v>
      </c>
      <c r="B185" s="45">
        <v>13538.89</v>
      </c>
      <c r="C185" s="45">
        <v>13538.89</v>
      </c>
      <c r="D185" s="45">
        <v>13538.89</v>
      </c>
      <c r="E185" s="45">
        <v>13538.89</v>
      </c>
      <c r="F185" s="18"/>
      <c r="G185" s="22">
        <v>-2.7099999999999999E-2</v>
      </c>
    </row>
    <row r="186" spans="1:7" x14ac:dyDescent="0.3">
      <c r="A186" s="54">
        <v>44099</v>
      </c>
      <c r="B186" s="45">
        <v>13858.78</v>
      </c>
      <c r="C186" s="45">
        <v>13858.78</v>
      </c>
      <c r="D186" s="45">
        <v>13858.78</v>
      </c>
      <c r="E186" s="45">
        <v>13858.78</v>
      </c>
      <c r="F186" s="18"/>
      <c r="G186" s="22">
        <v>2.3599999999999999E-2</v>
      </c>
    </row>
    <row r="187" spans="1:7" x14ac:dyDescent="0.3">
      <c r="A187" s="54">
        <v>44102</v>
      </c>
      <c r="B187" s="45">
        <v>14122.42</v>
      </c>
      <c r="C187" s="45">
        <v>14122.42</v>
      </c>
      <c r="D187" s="45">
        <v>14122.42</v>
      </c>
      <c r="E187" s="45">
        <v>14122.42</v>
      </c>
      <c r="F187" s="18"/>
      <c r="G187" s="22">
        <v>1.9E-2</v>
      </c>
    </row>
    <row r="188" spans="1:7" x14ac:dyDescent="0.3">
      <c r="A188" s="54">
        <v>44103</v>
      </c>
      <c r="B188" s="45">
        <v>14106.45</v>
      </c>
      <c r="C188" s="45">
        <v>14106.45</v>
      </c>
      <c r="D188" s="45">
        <v>14106.45</v>
      </c>
      <c r="E188" s="45">
        <v>14106.45</v>
      </c>
      <c r="F188" s="18"/>
      <c r="G188" s="22">
        <v>-1.1000000000000001E-3</v>
      </c>
    </row>
    <row r="189" spans="1:7" x14ac:dyDescent="0.3">
      <c r="A189" s="54">
        <v>44104</v>
      </c>
      <c r="B189" s="45">
        <v>14139.78</v>
      </c>
      <c r="C189" s="45">
        <v>14139.78</v>
      </c>
      <c r="D189" s="45">
        <v>14139.78</v>
      </c>
      <c r="E189" s="45">
        <v>14139.78</v>
      </c>
      <c r="F189" s="18"/>
      <c r="G189" s="22">
        <v>2.3999999999999998E-3</v>
      </c>
    </row>
    <row r="190" spans="1:7" x14ac:dyDescent="0.3">
      <c r="A190" s="54">
        <v>44105</v>
      </c>
      <c r="B190" s="45">
        <v>14321.32</v>
      </c>
      <c r="C190" s="45">
        <v>14321.32</v>
      </c>
      <c r="D190" s="45">
        <v>14321.32</v>
      </c>
      <c r="E190" s="45">
        <v>14321.32</v>
      </c>
      <c r="F190" s="18"/>
      <c r="G190" s="22">
        <v>1.2800000000000001E-2</v>
      </c>
    </row>
    <row r="191" spans="1:7" x14ac:dyDescent="0.3">
      <c r="A191" s="54">
        <v>44109</v>
      </c>
      <c r="B191" s="45">
        <v>14403.97</v>
      </c>
      <c r="C191" s="45">
        <v>14403.97</v>
      </c>
      <c r="D191" s="45">
        <v>14403.97</v>
      </c>
      <c r="E191" s="45">
        <v>14403.97</v>
      </c>
      <c r="F191" s="18"/>
      <c r="G191" s="22">
        <v>5.7999999999999996E-3</v>
      </c>
    </row>
    <row r="192" spans="1:7" x14ac:dyDescent="0.3">
      <c r="A192" s="54">
        <v>44110</v>
      </c>
      <c r="B192" s="45">
        <v>14564.5</v>
      </c>
      <c r="C192" s="45">
        <v>14564.5</v>
      </c>
      <c r="D192" s="45">
        <v>14564.5</v>
      </c>
      <c r="E192" s="45">
        <v>14564.5</v>
      </c>
      <c r="F192" s="18"/>
      <c r="G192" s="22">
        <v>1.11E-2</v>
      </c>
    </row>
    <row r="193" spans="1:7" x14ac:dyDescent="0.3">
      <c r="A193" s="54">
        <v>44111</v>
      </c>
      <c r="B193" s="45">
        <v>14613.15</v>
      </c>
      <c r="C193" s="45">
        <v>14613.15</v>
      </c>
      <c r="D193" s="45">
        <v>14613.15</v>
      </c>
      <c r="E193" s="45">
        <v>14613.15</v>
      </c>
      <c r="F193" s="18"/>
      <c r="G193" s="22">
        <v>3.3E-3</v>
      </c>
    </row>
    <row r="194" spans="1:7" x14ac:dyDescent="0.3">
      <c r="A194" s="54">
        <v>44112</v>
      </c>
      <c r="B194" s="45">
        <v>14699.94</v>
      </c>
      <c r="C194" s="45">
        <v>14699.94</v>
      </c>
      <c r="D194" s="45">
        <v>14699.94</v>
      </c>
      <c r="E194" s="45">
        <v>14699.94</v>
      </c>
      <c r="F194" s="18"/>
      <c r="G194" s="22">
        <v>5.8999999999999999E-3</v>
      </c>
    </row>
    <row r="195" spans="1:7" x14ac:dyDescent="0.3">
      <c r="A195" s="54">
        <v>44113</v>
      </c>
      <c r="B195" s="45">
        <v>14757.92</v>
      </c>
      <c r="C195" s="45">
        <v>14757.92</v>
      </c>
      <c r="D195" s="45">
        <v>14757.92</v>
      </c>
      <c r="E195" s="45">
        <v>14757.92</v>
      </c>
      <c r="F195" s="18"/>
      <c r="G195" s="22">
        <v>3.8999999999999998E-3</v>
      </c>
    </row>
    <row r="196" spans="1:7" x14ac:dyDescent="0.3">
      <c r="A196" s="54">
        <v>44116</v>
      </c>
      <c r="B196" s="45">
        <v>14750.66</v>
      </c>
      <c r="C196" s="45">
        <v>14750.66</v>
      </c>
      <c r="D196" s="45">
        <v>14750.66</v>
      </c>
      <c r="E196" s="45">
        <v>14750.66</v>
      </c>
      <c r="F196" s="18"/>
      <c r="G196" s="22">
        <v>-5.0000000000000001E-4</v>
      </c>
    </row>
    <row r="197" spans="1:7" x14ac:dyDescent="0.3">
      <c r="A197" s="54">
        <v>44117</v>
      </c>
      <c r="B197" s="45">
        <v>14737.25</v>
      </c>
      <c r="C197" s="45">
        <v>14737.25</v>
      </c>
      <c r="D197" s="45">
        <v>14737.25</v>
      </c>
      <c r="E197" s="45">
        <v>14737.25</v>
      </c>
      <c r="F197" s="18"/>
      <c r="G197" s="22">
        <v>-8.9999999999999998E-4</v>
      </c>
    </row>
    <row r="198" spans="1:7" x14ac:dyDescent="0.3">
      <c r="A198" s="54">
        <v>44118</v>
      </c>
      <c r="B198" s="45">
        <v>14780.59</v>
      </c>
      <c r="C198" s="45">
        <v>14780.59</v>
      </c>
      <c r="D198" s="45">
        <v>14780.59</v>
      </c>
      <c r="E198" s="45">
        <v>14780.59</v>
      </c>
      <c r="F198" s="18"/>
      <c r="G198" s="22">
        <v>2.8999999999999998E-3</v>
      </c>
    </row>
    <row r="199" spans="1:7" x14ac:dyDescent="0.3">
      <c r="A199" s="54">
        <v>44119</v>
      </c>
      <c r="B199" s="45">
        <v>14457.62</v>
      </c>
      <c r="C199" s="45">
        <v>14457.62</v>
      </c>
      <c r="D199" s="45">
        <v>14457.62</v>
      </c>
      <c r="E199" s="45">
        <v>14457.62</v>
      </c>
      <c r="F199" s="18"/>
      <c r="G199" s="22">
        <v>-2.1899999999999999E-2</v>
      </c>
    </row>
    <row r="200" spans="1:7" x14ac:dyDescent="0.3">
      <c r="A200" s="54">
        <v>44120</v>
      </c>
      <c r="B200" s="45">
        <v>14572.95</v>
      </c>
      <c r="C200" s="45">
        <v>14572.95</v>
      </c>
      <c r="D200" s="45">
        <v>14572.95</v>
      </c>
      <c r="E200" s="45">
        <v>14572.95</v>
      </c>
      <c r="F200" s="18"/>
      <c r="G200" s="22">
        <v>8.0000000000000002E-3</v>
      </c>
    </row>
    <row r="201" spans="1:7" x14ac:dyDescent="0.3">
      <c r="A201" s="54">
        <v>44123</v>
      </c>
      <c r="B201" s="45">
        <v>14698.7</v>
      </c>
      <c r="C201" s="45">
        <v>14698.7</v>
      </c>
      <c r="D201" s="45">
        <v>14698.7</v>
      </c>
      <c r="E201" s="45">
        <v>14698.7</v>
      </c>
      <c r="F201" s="18"/>
      <c r="G201" s="22">
        <v>8.6E-3</v>
      </c>
    </row>
    <row r="202" spans="1:7" x14ac:dyDescent="0.3">
      <c r="A202" s="54">
        <v>44124</v>
      </c>
      <c r="B202" s="45">
        <v>14734.59</v>
      </c>
      <c r="C202" s="45">
        <v>14734.59</v>
      </c>
      <c r="D202" s="45">
        <v>14734.59</v>
      </c>
      <c r="E202" s="45">
        <v>14734.59</v>
      </c>
      <c r="F202" s="18"/>
      <c r="G202" s="22">
        <v>2.3999999999999998E-3</v>
      </c>
    </row>
    <row r="203" spans="1:7" x14ac:dyDescent="0.3">
      <c r="A203" s="54">
        <v>44125</v>
      </c>
      <c r="B203" s="45">
        <v>14770.31</v>
      </c>
      <c r="C203" s="45">
        <v>14770.31</v>
      </c>
      <c r="D203" s="45">
        <v>14770.31</v>
      </c>
      <c r="E203" s="45">
        <v>14770.31</v>
      </c>
      <c r="F203" s="18"/>
      <c r="G203" s="22">
        <v>2.3999999999999998E-3</v>
      </c>
    </row>
    <row r="204" spans="1:7" x14ac:dyDescent="0.3">
      <c r="A204" s="54">
        <v>44126</v>
      </c>
      <c r="B204" s="45">
        <v>14753.69</v>
      </c>
      <c r="C204" s="45">
        <v>14753.69</v>
      </c>
      <c r="D204" s="45">
        <v>14753.69</v>
      </c>
      <c r="E204" s="45">
        <v>14753.69</v>
      </c>
      <c r="F204" s="18"/>
      <c r="G204" s="22">
        <v>-1.1000000000000001E-3</v>
      </c>
    </row>
    <row r="205" spans="1:7" x14ac:dyDescent="0.3">
      <c r="A205" s="54">
        <v>44127</v>
      </c>
      <c r="B205" s="45">
        <v>14816.06</v>
      </c>
      <c r="C205" s="45">
        <v>14816.06</v>
      </c>
      <c r="D205" s="45">
        <v>14816.06</v>
      </c>
      <c r="E205" s="45">
        <v>14816.06</v>
      </c>
      <c r="F205" s="18"/>
      <c r="G205" s="22">
        <v>4.1999999999999997E-3</v>
      </c>
    </row>
    <row r="206" spans="1:7" x14ac:dyDescent="0.3">
      <c r="A206" s="54">
        <v>44130</v>
      </c>
      <c r="B206" s="45">
        <v>14615.15</v>
      </c>
      <c r="C206" s="45">
        <v>14615.15</v>
      </c>
      <c r="D206" s="45">
        <v>14615.15</v>
      </c>
      <c r="E206" s="45">
        <v>14615.15</v>
      </c>
      <c r="F206" s="18"/>
      <c r="G206" s="22">
        <v>-1.3599999999999999E-2</v>
      </c>
    </row>
    <row r="207" spans="1:7" x14ac:dyDescent="0.3">
      <c r="A207" s="54">
        <v>44131</v>
      </c>
      <c r="B207" s="45">
        <v>14767.77</v>
      </c>
      <c r="C207" s="45">
        <v>14767.77</v>
      </c>
      <c r="D207" s="45">
        <v>14767.77</v>
      </c>
      <c r="E207" s="45">
        <v>14767.77</v>
      </c>
      <c r="F207" s="18"/>
      <c r="G207" s="22">
        <v>1.04E-2</v>
      </c>
    </row>
    <row r="208" spans="1:7" x14ac:dyDescent="0.3">
      <c r="A208" s="54">
        <v>44132</v>
      </c>
      <c r="B208" s="45">
        <v>14594.96</v>
      </c>
      <c r="C208" s="45">
        <v>14594.96</v>
      </c>
      <c r="D208" s="45">
        <v>14594.96</v>
      </c>
      <c r="E208" s="45">
        <v>14594.96</v>
      </c>
      <c r="F208" s="18"/>
      <c r="G208" s="22">
        <v>-1.17E-2</v>
      </c>
    </row>
    <row r="209" spans="1:7" x14ac:dyDescent="0.3">
      <c r="A209" s="54">
        <v>44133</v>
      </c>
      <c r="B209" s="45">
        <v>14539.33</v>
      </c>
      <c r="C209" s="45">
        <v>14539.33</v>
      </c>
      <c r="D209" s="45">
        <v>14539.33</v>
      </c>
      <c r="E209" s="45">
        <v>14539.33</v>
      </c>
      <c r="F209" s="18"/>
      <c r="G209" s="22">
        <v>-3.8E-3</v>
      </c>
    </row>
    <row r="210" spans="1:7" x14ac:dyDescent="0.3">
      <c r="A210" s="54">
        <v>44134</v>
      </c>
      <c r="B210" s="45">
        <v>14521.56</v>
      </c>
      <c r="C210" s="45">
        <v>14521.56</v>
      </c>
      <c r="D210" s="45">
        <v>14521.56</v>
      </c>
      <c r="E210" s="45">
        <v>14521.56</v>
      </c>
      <c r="F210" s="18"/>
      <c r="G210" s="22">
        <v>-1.1999999999999999E-3</v>
      </c>
    </row>
    <row r="211" spans="1:7" x14ac:dyDescent="0.3">
      <c r="A211" s="54">
        <v>44137</v>
      </c>
      <c r="B211" s="45">
        <v>14543.26</v>
      </c>
      <c r="C211" s="45">
        <v>14543.26</v>
      </c>
      <c r="D211" s="45">
        <v>14543.26</v>
      </c>
      <c r="E211" s="45">
        <v>14543.26</v>
      </c>
      <c r="F211" s="18"/>
      <c r="G211" s="22">
        <v>1.5E-3</v>
      </c>
    </row>
    <row r="212" spans="1:7" x14ac:dyDescent="0.3">
      <c r="A212" s="54">
        <v>44138</v>
      </c>
      <c r="B212" s="45">
        <v>14695.59</v>
      </c>
      <c r="C212" s="45">
        <v>14695.59</v>
      </c>
      <c r="D212" s="45">
        <v>14695.59</v>
      </c>
      <c r="E212" s="45">
        <v>14695.59</v>
      </c>
      <c r="F212" s="18"/>
      <c r="G212" s="22">
        <v>1.0500000000000001E-2</v>
      </c>
    </row>
    <row r="213" spans="1:7" x14ac:dyDescent="0.3">
      <c r="A213" s="54">
        <v>44139</v>
      </c>
      <c r="B213" s="45">
        <v>14803.64</v>
      </c>
      <c r="C213" s="45">
        <v>14803.64</v>
      </c>
      <c r="D213" s="45">
        <v>14803.64</v>
      </c>
      <c r="E213" s="45">
        <v>14803.64</v>
      </c>
      <c r="F213" s="18"/>
      <c r="G213" s="22">
        <v>7.4000000000000003E-3</v>
      </c>
    </row>
    <row r="214" spans="1:7" x14ac:dyDescent="0.3">
      <c r="A214" s="54">
        <v>44140</v>
      </c>
      <c r="B214" s="45">
        <v>15063.26</v>
      </c>
      <c r="C214" s="45">
        <v>15063.26</v>
      </c>
      <c r="D214" s="45">
        <v>15063.26</v>
      </c>
      <c r="E214" s="45">
        <v>15063.26</v>
      </c>
      <c r="F214" s="18"/>
      <c r="G214" s="22">
        <v>1.7500000000000002E-2</v>
      </c>
    </row>
    <row r="215" spans="1:7" x14ac:dyDescent="0.3">
      <c r="A215" s="54">
        <v>44141</v>
      </c>
      <c r="B215" s="45">
        <v>15212.07</v>
      </c>
      <c r="C215" s="45">
        <v>15212.07</v>
      </c>
      <c r="D215" s="45">
        <v>15212.07</v>
      </c>
      <c r="E215" s="45">
        <v>15212.07</v>
      </c>
      <c r="F215" s="18"/>
      <c r="G215" s="22">
        <v>9.9000000000000008E-3</v>
      </c>
    </row>
    <row r="216" spans="1:7" x14ac:dyDescent="0.3">
      <c r="A216" s="54">
        <v>44144</v>
      </c>
      <c r="B216" s="45">
        <v>15428.84</v>
      </c>
      <c r="C216" s="45">
        <v>15428.84</v>
      </c>
      <c r="D216" s="45">
        <v>15428.84</v>
      </c>
      <c r="E216" s="45">
        <v>15428.84</v>
      </c>
      <c r="F216" s="18"/>
      <c r="G216" s="22">
        <v>1.4200000000000001E-2</v>
      </c>
    </row>
    <row r="217" spans="1:7" x14ac:dyDescent="0.3">
      <c r="A217" s="54">
        <v>44145</v>
      </c>
      <c r="B217" s="45">
        <v>15569.44</v>
      </c>
      <c r="C217" s="45">
        <v>15569.44</v>
      </c>
      <c r="D217" s="45">
        <v>15569.44</v>
      </c>
      <c r="E217" s="45">
        <v>15569.44</v>
      </c>
      <c r="F217" s="18"/>
      <c r="G217" s="22">
        <v>9.1000000000000004E-3</v>
      </c>
    </row>
    <row r="218" spans="1:7" x14ac:dyDescent="0.3">
      <c r="A218" s="54">
        <v>44146</v>
      </c>
      <c r="B218" s="45">
        <v>15702.39</v>
      </c>
      <c r="C218" s="45">
        <v>15702.39</v>
      </c>
      <c r="D218" s="45">
        <v>15702.39</v>
      </c>
      <c r="E218" s="45">
        <v>15702.39</v>
      </c>
      <c r="F218" s="18"/>
      <c r="G218" s="22">
        <v>8.5000000000000006E-3</v>
      </c>
    </row>
    <row r="219" spans="1:7" x14ac:dyDescent="0.3">
      <c r="A219" s="54">
        <v>44147</v>
      </c>
      <c r="B219" s="45">
        <v>15681.98</v>
      </c>
      <c r="C219" s="45">
        <v>15681.98</v>
      </c>
      <c r="D219" s="45">
        <v>15681.98</v>
      </c>
      <c r="E219" s="45">
        <v>15681.98</v>
      </c>
      <c r="F219" s="18"/>
      <c r="G219" s="22">
        <v>-1.2999999999999999E-3</v>
      </c>
    </row>
    <row r="220" spans="1:7" x14ac:dyDescent="0.3">
      <c r="A220" s="54">
        <v>44148</v>
      </c>
      <c r="B220" s="45">
        <v>15749.74</v>
      </c>
      <c r="C220" s="45">
        <v>15749.74</v>
      </c>
      <c r="D220" s="45">
        <v>15749.74</v>
      </c>
      <c r="E220" s="45">
        <v>15749.74</v>
      </c>
      <c r="F220" s="18"/>
      <c r="G220" s="22">
        <v>4.3E-3</v>
      </c>
    </row>
    <row r="221" spans="1:7" x14ac:dyDescent="0.3">
      <c r="A221" s="54">
        <v>44152</v>
      </c>
      <c r="B221" s="45">
        <v>15957.28</v>
      </c>
      <c r="C221" s="45">
        <v>15957.28</v>
      </c>
      <c r="D221" s="45">
        <v>15957.28</v>
      </c>
      <c r="E221" s="45">
        <v>15957.28</v>
      </c>
      <c r="F221" s="18"/>
      <c r="G221" s="22">
        <v>1.32E-2</v>
      </c>
    </row>
    <row r="222" spans="1:7" x14ac:dyDescent="0.3">
      <c r="A222" s="54">
        <v>44153</v>
      </c>
      <c r="B222" s="45">
        <v>16055.59</v>
      </c>
      <c r="C222" s="45">
        <v>16055.59</v>
      </c>
      <c r="D222" s="45">
        <v>16055.59</v>
      </c>
      <c r="E222" s="45">
        <v>16055.59</v>
      </c>
      <c r="F222" s="18"/>
      <c r="G222" s="22">
        <v>6.1999999999999998E-3</v>
      </c>
    </row>
    <row r="223" spans="1:7" x14ac:dyDescent="0.3">
      <c r="A223" s="54">
        <v>44154</v>
      </c>
      <c r="B223" s="45">
        <v>15887.85</v>
      </c>
      <c r="C223" s="45">
        <v>15887.85</v>
      </c>
      <c r="D223" s="45">
        <v>15887.85</v>
      </c>
      <c r="E223" s="45">
        <v>15887.85</v>
      </c>
      <c r="F223" s="18"/>
      <c r="G223" s="22">
        <v>-1.04E-2</v>
      </c>
    </row>
    <row r="224" spans="1:7" x14ac:dyDescent="0.3">
      <c r="A224" s="54">
        <v>44155</v>
      </c>
      <c r="B224" s="45">
        <v>16013.83</v>
      </c>
      <c r="C224" s="45">
        <v>16013.83</v>
      </c>
      <c r="D224" s="45">
        <v>16013.83</v>
      </c>
      <c r="E224" s="45">
        <v>16013.83</v>
      </c>
      <c r="F224" s="18"/>
      <c r="G224" s="22">
        <v>7.9000000000000008E-3</v>
      </c>
    </row>
    <row r="225" spans="1:7" x14ac:dyDescent="0.3">
      <c r="A225" s="54">
        <v>44158</v>
      </c>
      <c r="B225" s="45">
        <v>16129.46</v>
      </c>
      <c r="C225" s="45">
        <v>16129.46</v>
      </c>
      <c r="D225" s="45">
        <v>16129.46</v>
      </c>
      <c r="E225" s="45">
        <v>16129.46</v>
      </c>
      <c r="F225" s="18"/>
      <c r="G225" s="22">
        <v>7.1999999999999998E-3</v>
      </c>
    </row>
    <row r="226" spans="1:7" x14ac:dyDescent="0.3">
      <c r="A226" s="54">
        <v>44159</v>
      </c>
      <c r="B226" s="45">
        <v>16277.69</v>
      </c>
      <c r="C226" s="45">
        <v>16277.69</v>
      </c>
      <c r="D226" s="45">
        <v>16277.69</v>
      </c>
      <c r="E226" s="45">
        <v>16277.69</v>
      </c>
      <c r="F226" s="18"/>
      <c r="G226" s="22">
        <v>9.1999999999999998E-3</v>
      </c>
    </row>
    <row r="227" spans="1:7" x14ac:dyDescent="0.3">
      <c r="A227" s="54">
        <v>44160</v>
      </c>
      <c r="B227" s="45">
        <v>16037.11</v>
      </c>
      <c r="C227" s="45">
        <v>16037.11</v>
      </c>
      <c r="D227" s="45">
        <v>16037.11</v>
      </c>
      <c r="E227" s="45">
        <v>16037.11</v>
      </c>
      <c r="F227" s="18"/>
      <c r="G227" s="22">
        <v>-1.4800000000000001E-2</v>
      </c>
    </row>
    <row r="228" spans="1:7" x14ac:dyDescent="0.3">
      <c r="A228" s="54">
        <v>44161</v>
      </c>
      <c r="B228" s="45">
        <v>16187.4</v>
      </c>
      <c r="C228" s="45">
        <v>16187.4</v>
      </c>
      <c r="D228" s="45">
        <v>16187.4</v>
      </c>
      <c r="E228" s="45">
        <v>16187.4</v>
      </c>
      <c r="F228" s="18"/>
      <c r="G228" s="22">
        <v>9.4000000000000004E-3</v>
      </c>
    </row>
    <row r="229" spans="1:7" x14ac:dyDescent="0.3">
      <c r="A229" s="54">
        <v>44162</v>
      </c>
      <c r="B229" s="45">
        <v>16255.62</v>
      </c>
      <c r="C229" s="45">
        <v>16255.62</v>
      </c>
      <c r="D229" s="45">
        <v>16255.62</v>
      </c>
      <c r="E229" s="45">
        <v>16255.62</v>
      </c>
      <c r="F229" s="18"/>
      <c r="G229" s="22">
        <v>4.1999999999999997E-3</v>
      </c>
    </row>
    <row r="230" spans="1:7" x14ac:dyDescent="0.3">
      <c r="A230" s="54">
        <v>44166</v>
      </c>
      <c r="B230" s="45">
        <v>16431.79</v>
      </c>
      <c r="C230" s="45">
        <v>16431.79</v>
      </c>
      <c r="D230" s="45">
        <v>16431.79</v>
      </c>
      <c r="E230" s="45">
        <v>16431.79</v>
      </c>
      <c r="F230" s="18"/>
      <c r="G230" s="22">
        <v>1.0800000000000001E-2</v>
      </c>
    </row>
    <row r="231" spans="1:7" x14ac:dyDescent="0.3">
      <c r="A231" s="54">
        <v>44167</v>
      </c>
      <c r="B231" s="45">
        <v>16466.7</v>
      </c>
      <c r="C231" s="45">
        <v>16466.7</v>
      </c>
      <c r="D231" s="45">
        <v>16466.7</v>
      </c>
      <c r="E231" s="45">
        <v>16466.7</v>
      </c>
      <c r="F231" s="18"/>
      <c r="G231" s="22">
        <v>2.0999999999999999E-3</v>
      </c>
    </row>
    <row r="232" spans="1:7" x14ac:dyDescent="0.3">
      <c r="A232" s="54">
        <v>44168</v>
      </c>
      <c r="B232" s="45">
        <v>16520.43</v>
      </c>
      <c r="C232" s="45">
        <v>16520.43</v>
      </c>
      <c r="D232" s="45">
        <v>16520.43</v>
      </c>
      <c r="E232" s="45">
        <v>16520.43</v>
      </c>
      <c r="F232" s="18"/>
      <c r="G232" s="22">
        <v>3.3E-3</v>
      </c>
    </row>
    <row r="233" spans="1:7" x14ac:dyDescent="0.3">
      <c r="A233" s="54">
        <v>44169</v>
      </c>
      <c r="B233" s="45">
        <v>16649.759999999998</v>
      </c>
      <c r="C233" s="45">
        <v>16649.759999999998</v>
      </c>
      <c r="D233" s="45">
        <v>16649.759999999998</v>
      </c>
      <c r="E233" s="45">
        <v>16649.759999999998</v>
      </c>
      <c r="F233" s="18"/>
      <c r="G233" s="22">
        <v>7.7999999999999996E-3</v>
      </c>
    </row>
    <row r="234" spans="1:7" x14ac:dyDescent="0.3">
      <c r="A234" s="54">
        <v>44172</v>
      </c>
      <c r="B234" s="45">
        <v>16788.330000000002</v>
      </c>
      <c r="C234" s="45">
        <v>16788.330000000002</v>
      </c>
      <c r="D234" s="45">
        <v>16788.330000000002</v>
      </c>
      <c r="E234" s="45">
        <v>16788.330000000002</v>
      </c>
      <c r="F234" s="18"/>
      <c r="G234" s="22">
        <v>8.3000000000000001E-3</v>
      </c>
    </row>
    <row r="235" spans="1:7" x14ac:dyDescent="0.3">
      <c r="A235" s="54">
        <v>44173</v>
      </c>
      <c r="B235" s="45">
        <v>16816.259999999998</v>
      </c>
      <c r="C235" s="45">
        <v>16816.259999999998</v>
      </c>
      <c r="D235" s="45">
        <v>16816.259999999998</v>
      </c>
      <c r="E235" s="45">
        <v>16816.259999999998</v>
      </c>
      <c r="F235" s="18"/>
      <c r="G235" s="22">
        <v>1.6999999999999999E-3</v>
      </c>
    </row>
    <row r="236" spans="1:7" x14ac:dyDescent="0.3">
      <c r="A236" s="54">
        <v>44174</v>
      </c>
      <c r="B236" s="45">
        <v>16956.62</v>
      </c>
      <c r="C236" s="45">
        <v>16956.62</v>
      </c>
      <c r="D236" s="45">
        <v>16956.62</v>
      </c>
      <c r="E236" s="45">
        <v>16956.62</v>
      </c>
      <c r="F236" s="18"/>
      <c r="G236" s="22">
        <v>8.3000000000000001E-3</v>
      </c>
    </row>
    <row r="237" spans="1:7" x14ac:dyDescent="0.3">
      <c r="A237" s="54">
        <v>44175</v>
      </c>
      <c r="B237" s="45">
        <v>16896.14</v>
      </c>
      <c r="C237" s="45">
        <v>16896.14</v>
      </c>
      <c r="D237" s="45">
        <v>16896.14</v>
      </c>
      <c r="E237" s="45">
        <v>16896.14</v>
      </c>
      <c r="F237" s="18"/>
      <c r="G237" s="22">
        <v>-3.5999999999999999E-3</v>
      </c>
    </row>
    <row r="238" spans="1:7" x14ac:dyDescent="0.3">
      <c r="A238" s="54">
        <v>44176</v>
      </c>
      <c r="B238" s="45">
        <v>16941.77</v>
      </c>
      <c r="C238" s="45">
        <v>16941.77</v>
      </c>
      <c r="D238" s="45">
        <v>16941.77</v>
      </c>
      <c r="E238" s="45">
        <v>16941.77</v>
      </c>
      <c r="F238" s="18"/>
      <c r="G238" s="22">
        <v>2.7000000000000001E-3</v>
      </c>
    </row>
    <row r="239" spans="1:7" x14ac:dyDescent="0.3">
      <c r="A239" s="54">
        <v>44179</v>
      </c>
      <c r="B239" s="45">
        <v>17008.25</v>
      </c>
      <c r="C239" s="45">
        <v>17008.25</v>
      </c>
      <c r="D239" s="45">
        <v>17008.25</v>
      </c>
      <c r="E239" s="45">
        <v>17008.25</v>
      </c>
      <c r="F239" s="18"/>
      <c r="G239" s="22">
        <v>3.8999999999999998E-3</v>
      </c>
    </row>
    <row r="240" spans="1:7" x14ac:dyDescent="0.3">
      <c r="A240" s="54">
        <v>44180</v>
      </c>
      <c r="B240" s="45">
        <v>17021.37</v>
      </c>
      <c r="C240" s="45">
        <v>17021.37</v>
      </c>
      <c r="D240" s="45">
        <v>17021.37</v>
      </c>
      <c r="E240" s="45">
        <v>17021.37</v>
      </c>
      <c r="F240" s="18"/>
      <c r="G240" s="22">
        <v>8.0000000000000004E-4</v>
      </c>
    </row>
    <row r="241" spans="1:7" x14ac:dyDescent="0.3">
      <c r="A241" s="54">
        <v>44181</v>
      </c>
      <c r="B241" s="45">
        <v>17167.23</v>
      </c>
      <c r="C241" s="45">
        <v>17167.23</v>
      </c>
      <c r="D241" s="45">
        <v>17167.23</v>
      </c>
      <c r="E241" s="45">
        <v>17167.23</v>
      </c>
      <c r="F241" s="18"/>
      <c r="G241" s="22">
        <v>8.6E-3</v>
      </c>
    </row>
    <row r="242" spans="1:7" x14ac:dyDescent="0.3">
      <c r="A242" s="54">
        <v>44182</v>
      </c>
      <c r="B242" s="45">
        <v>17209.96</v>
      </c>
      <c r="C242" s="45">
        <v>17209.96</v>
      </c>
      <c r="D242" s="45">
        <v>17209.96</v>
      </c>
      <c r="E242" s="45">
        <v>17209.96</v>
      </c>
      <c r="F242" s="18"/>
      <c r="G242" s="22">
        <v>2.5000000000000001E-3</v>
      </c>
    </row>
    <row r="243" spans="1:7" x14ac:dyDescent="0.3">
      <c r="A243" s="54">
        <v>44183</v>
      </c>
      <c r="B243" s="45">
        <v>17223.02</v>
      </c>
      <c r="C243" s="45">
        <v>17223.02</v>
      </c>
      <c r="D243" s="45">
        <v>17223.02</v>
      </c>
      <c r="E243" s="45">
        <v>17223.02</v>
      </c>
      <c r="F243" s="18"/>
      <c r="G243" s="22">
        <v>8.0000000000000004E-4</v>
      </c>
    </row>
    <row r="244" spans="1:7" x14ac:dyDescent="0.3">
      <c r="A244" s="54">
        <v>44186</v>
      </c>
      <c r="B244" s="45">
        <v>16630.400000000001</v>
      </c>
      <c r="C244" s="45">
        <v>16630.400000000001</v>
      </c>
      <c r="D244" s="45">
        <v>16630.400000000001</v>
      </c>
      <c r="E244" s="45">
        <v>16630.400000000001</v>
      </c>
      <c r="F244" s="18"/>
      <c r="G244" s="22">
        <v>-3.44E-2</v>
      </c>
    </row>
    <row r="245" spans="1:7" x14ac:dyDescent="0.3">
      <c r="A245" s="54">
        <v>44187</v>
      </c>
      <c r="B245" s="45">
        <v>16799.490000000002</v>
      </c>
      <c r="C245" s="45">
        <v>16799.490000000002</v>
      </c>
      <c r="D245" s="45">
        <v>16799.490000000002</v>
      </c>
      <c r="E245" s="45">
        <v>16799.490000000002</v>
      </c>
      <c r="F245" s="18"/>
      <c r="G245" s="22">
        <v>1.0200000000000001E-2</v>
      </c>
    </row>
    <row r="246" spans="1:7" x14ac:dyDescent="0.3">
      <c r="A246" s="54">
        <v>44188</v>
      </c>
      <c r="B246" s="45">
        <v>17026.8</v>
      </c>
      <c r="C246" s="45">
        <v>17026.8</v>
      </c>
      <c r="D246" s="45">
        <v>17026.8</v>
      </c>
      <c r="E246" s="45">
        <v>17026.8</v>
      </c>
      <c r="F246" s="18"/>
      <c r="G246" s="22">
        <v>1.35E-2</v>
      </c>
    </row>
    <row r="247" spans="1:7" x14ac:dyDescent="0.3">
      <c r="A247" s="54">
        <v>44189</v>
      </c>
      <c r="B247" s="45">
        <v>17178.02</v>
      </c>
      <c r="C247" s="45">
        <v>17178.02</v>
      </c>
      <c r="D247" s="45">
        <v>17178.02</v>
      </c>
      <c r="E247" s="45">
        <v>17178.02</v>
      </c>
      <c r="F247" s="18"/>
      <c r="G247" s="22">
        <v>8.8999999999999999E-3</v>
      </c>
    </row>
    <row r="248" spans="1:7" x14ac:dyDescent="0.3">
      <c r="A248" s="54">
        <v>44193</v>
      </c>
      <c r="B248" s="45">
        <v>17343.97</v>
      </c>
      <c r="C248" s="45">
        <v>17343.97</v>
      </c>
      <c r="D248" s="45">
        <v>17343.97</v>
      </c>
      <c r="E248" s="45">
        <v>17343.97</v>
      </c>
      <c r="F248" s="18"/>
      <c r="G248" s="22">
        <v>9.7000000000000003E-3</v>
      </c>
    </row>
    <row r="249" spans="1:7" x14ac:dyDescent="0.3">
      <c r="A249" s="54">
        <v>44194</v>
      </c>
      <c r="B249" s="45">
        <v>17392.96</v>
      </c>
      <c r="C249" s="45">
        <v>17392.96</v>
      </c>
      <c r="D249" s="45">
        <v>17392.96</v>
      </c>
      <c r="E249" s="45">
        <v>17392.96</v>
      </c>
      <c r="F249" s="18"/>
      <c r="G249" s="22">
        <v>2.8E-3</v>
      </c>
    </row>
    <row r="250" spans="1:7" x14ac:dyDescent="0.3">
      <c r="A250" s="54">
        <v>44195</v>
      </c>
      <c r="B250" s="45">
        <v>17457.650000000001</v>
      </c>
      <c r="C250" s="45">
        <v>17457.650000000001</v>
      </c>
      <c r="D250" s="45">
        <v>17457.650000000001</v>
      </c>
      <c r="E250" s="45">
        <v>17457.650000000001</v>
      </c>
      <c r="F250" s="18"/>
      <c r="G250" s="22">
        <v>3.7000000000000002E-3</v>
      </c>
    </row>
    <row r="251" spans="1:7" x14ac:dyDescent="0.3">
      <c r="A251" s="54">
        <v>44196</v>
      </c>
      <c r="B251" s="45">
        <v>17470.79</v>
      </c>
      <c r="C251" s="45">
        <v>17470.79</v>
      </c>
      <c r="D251" s="45">
        <v>17470.79</v>
      </c>
      <c r="E251" s="45">
        <v>17470.79</v>
      </c>
      <c r="F251" s="18"/>
      <c r="G251" s="22">
        <v>8.0000000000000004E-4</v>
      </c>
    </row>
    <row r="252" spans="1:7" x14ac:dyDescent="0.3">
      <c r="A252" s="54">
        <v>44197</v>
      </c>
      <c r="B252" s="45">
        <v>17556.560000000001</v>
      </c>
      <c r="C252" s="45">
        <v>17556.560000000001</v>
      </c>
      <c r="D252" s="45">
        <v>17556.560000000001</v>
      </c>
      <c r="E252" s="45">
        <v>17556.560000000001</v>
      </c>
      <c r="F252" s="18"/>
      <c r="G252" s="22">
        <v>4.8999999999999998E-3</v>
      </c>
    </row>
    <row r="253" spans="1:7" x14ac:dyDescent="0.3">
      <c r="A253" s="54">
        <v>44200</v>
      </c>
      <c r="B253" s="45">
        <v>17733.95</v>
      </c>
      <c r="C253" s="45">
        <v>17733.95</v>
      </c>
      <c r="D253" s="45">
        <v>17733.95</v>
      </c>
      <c r="E253" s="45">
        <v>17733.95</v>
      </c>
      <c r="F253" s="18"/>
      <c r="G253" s="22">
        <v>1.01E-2</v>
      </c>
    </row>
    <row r="254" spans="1:7" x14ac:dyDescent="0.3">
      <c r="A254" s="54">
        <v>44201</v>
      </c>
      <c r="B254" s="45">
        <v>17848.060000000001</v>
      </c>
      <c r="C254" s="45">
        <v>17848.060000000001</v>
      </c>
      <c r="D254" s="45">
        <v>17848.060000000001</v>
      </c>
      <c r="E254" s="45">
        <v>17848.060000000001</v>
      </c>
      <c r="F254" s="18"/>
      <c r="G254" s="22">
        <v>6.4000000000000003E-3</v>
      </c>
    </row>
    <row r="255" spans="1:7" x14ac:dyDescent="0.3">
      <c r="A255" s="54">
        <v>44202</v>
      </c>
      <c r="B255" s="45">
        <v>17803.919999999998</v>
      </c>
      <c r="C255" s="45">
        <v>17803.919999999998</v>
      </c>
      <c r="D255" s="45">
        <v>17803.919999999998</v>
      </c>
      <c r="E255" s="45">
        <v>17803.919999999998</v>
      </c>
      <c r="F255" s="18"/>
      <c r="G255" s="22">
        <v>-2.5000000000000001E-3</v>
      </c>
    </row>
    <row r="256" spans="1:7" x14ac:dyDescent="0.3">
      <c r="A256" s="54">
        <v>44203</v>
      </c>
      <c r="B256" s="45">
        <v>17846.66</v>
      </c>
      <c r="C256" s="45">
        <v>17846.66</v>
      </c>
      <c r="D256" s="45">
        <v>17846.66</v>
      </c>
      <c r="E256" s="45">
        <v>17846.66</v>
      </c>
      <c r="F256" s="18"/>
      <c r="G256" s="22">
        <v>2.3999999999999998E-3</v>
      </c>
    </row>
    <row r="257" spans="1:7" x14ac:dyDescent="0.3">
      <c r="A257" s="54">
        <v>44204</v>
      </c>
      <c r="B257" s="45">
        <v>18088.64</v>
      </c>
      <c r="C257" s="45">
        <v>18088.64</v>
      </c>
      <c r="D257" s="45">
        <v>18088.64</v>
      </c>
      <c r="E257" s="45">
        <v>18088.64</v>
      </c>
      <c r="F257" s="18"/>
      <c r="G257" s="22">
        <v>1.3599999999999999E-2</v>
      </c>
    </row>
    <row r="258" spans="1:7" x14ac:dyDescent="0.3">
      <c r="A258" s="54">
        <v>44207</v>
      </c>
      <c r="B258" s="45">
        <v>18211.34</v>
      </c>
      <c r="C258" s="45">
        <v>18211.34</v>
      </c>
      <c r="D258" s="45">
        <v>18211.34</v>
      </c>
      <c r="E258" s="45">
        <v>18211.34</v>
      </c>
      <c r="F258" s="18"/>
      <c r="G258" s="22">
        <v>6.7999999999999996E-3</v>
      </c>
    </row>
    <row r="259" spans="1:7" x14ac:dyDescent="0.3">
      <c r="A259" s="54">
        <v>44208</v>
      </c>
      <c r="B259" s="45">
        <v>18290.03</v>
      </c>
      <c r="C259" s="45">
        <v>18290.03</v>
      </c>
      <c r="D259" s="45">
        <v>18290.03</v>
      </c>
      <c r="E259" s="45">
        <v>18290.03</v>
      </c>
      <c r="F259" s="18"/>
      <c r="G259" s="22">
        <v>4.3E-3</v>
      </c>
    </row>
    <row r="260" spans="1:7" x14ac:dyDescent="0.3">
      <c r="A260" s="54">
        <v>44209</v>
      </c>
      <c r="B260" s="45">
        <v>18263.91</v>
      </c>
      <c r="C260" s="45">
        <v>18263.91</v>
      </c>
      <c r="D260" s="45">
        <v>18263.91</v>
      </c>
      <c r="E260" s="45">
        <v>18263.91</v>
      </c>
      <c r="F260" s="18"/>
      <c r="G260" s="22">
        <v>-1.4E-3</v>
      </c>
    </row>
    <row r="261" spans="1:7" x14ac:dyDescent="0.3">
      <c r="A261" s="54">
        <v>44210</v>
      </c>
      <c r="B261" s="45">
        <v>18308.29</v>
      </c>
      <c r="C261" s="45">
        <v>18308.29</v>
      </c>
      <c r="D261" s="45">
        <v>18308.29</v>
      </c>
      <c r="E261" s="45">
        <v>18308.29</v>
      </c>
      <c r="F261" s="18"/>
      <c r="G261" s="22">
        <v>2.3999999999999998E-3</v>
      </c>
    </row>
    <row r="262" spans="1:7" x14ac:dyDescent="0.3">
      <c r="A262" s="54">
        <v>44211</v>
      </c>
      <c r="B262" s="45">
        <v>18098.509999999998</v>
      </c>
      <c r="C262" s="45">
        <v>18098.509999999998</v>
      </c>
      <c r="D262" s="45">
        <v>18098.509999999998</v>
      </c>
      <c r="E262" s="45">
        <v>18098.509999999998</v>
      </c>
      <c r="F262" s="18"/>
      <c r="G262" s="22">
        <v>-1.15E-2</v>
      </c>
    </row>
    <row r="263" spans="1:7" x14ac:dyDescent="0.3">
      <c r="A263" s="54">
        <v>44214</v>
      </c>
      <c r="B263" s="45">
        <v>17863.349999999999</v>
      </c>
      <c r="C263" s="45">
        <v>17863.349999999999</v>
      </c>
      <c r="D263" s="45">
        <v>17863.349999999999</v>
      </c>
      <c r="E263" s="45">
        <v>17863.349999999999</v>
      </c>
      <c r="F263" s="18"/>
      <c r="G263" s="22">
        <v>-1.2999999999999999E-2</v>
      </c>
    </row>
    <row r="264" spans="1:7" x14ac:dyDescent="0.3">
      <c r="A264" s="54">
        <v>44215</v>
      </c>
      <c r="B264" s="45">
        <v>18175.28</v>
      </c>
      <c r="C264" s="45">
        <v>18175.28</v>
      </c>
      <c r="D264" s="45">
        <v>18175.28</v>
      </c>
      <c r="E264" s="45">
        <v>18175.28</v>
      </c>
      <c r="F264" s="18"/>
      <c r="G264" s="22">
        <v>1.7500000000000002E-2</v>
      </c>
    </row>
    <row r="265" spans="1:7" x14ac:dyDescent="0.3">
      <c r="A265" s="54">
        <v>44216</v>
      </c>
      <c r="B265" s="45">
        <v>18321.73</v>
      </c>
      <c r="C265" s="45">
        <v>18321.73</v>
      </c>
      <c r="D265" s="45">
        <v>18321.73</v>
      </c>
      <c r="E265" s="45">
        <v>18321.73</v>
      </c>
      <c r="F265" s="18"/>
      <c r="G265" s="22">
        <v>8.0999999999999996E-3</v>
      </c>
    </row>
    <row r="266" spans="1:7" x14ac:dyDescent="0.3">
      <c r="A266" s="54">
        <v>44217</v>
      </c>
      <c r="B266" s="45">
        <v>18227.91</v>
      </c>
      <c r="C266" s="45">
        <v>18227.91</v>
      </c>
      <c r="D266" s="45">
        <v>18227.91</v>
      </c>
      <c r="E266" s="45">
        <v>18227.91</v>
      </c>
      <c r="F266" s="18"/>
      <c r="G266" s="22">
        <v>-5.1000000000000004E-3</v>
      </c>
    </row>
    <row r="267" spans="1:7" x14ac:dyDescent="0.3">
      <c r="A267" s="54">
        <v>44218</v>
      </c>
      <c r="B267" s="45">
        <v>17983.28</v>
      </c>
      <c r="C267" s="45">
        <v>17983.28</v>
      </c>
      <c r="D267" s="45">
        <v>17983.28</v>
      </c>
      <c r="E267" s="45">
        <v>17983.28</v>
      </c>
      <c r="F267" s="18"/>
      <c r="G267" s="22">
        <v>-1.34E-2</v>
      </c>
    </row>
    <row r="268" spans="1:7" x14ac:dyDescent="0.3">
      <c r="A268" s="54">
        <v>44221</v>
      </c>
      <c r="B268" s="45">
        <v>17815.21</v>
      </c>
      <c r="C268" s="45">
        <v>17815.21</v>
      </c>
      <c r="D268" s="45">
        <v>17815.21</v>
      </c>
      <c r="E268" s="45">
        <v>17815.21</v>
      </c>
      <c r="F268" s="18"/>
      <c r="G268" s="22">
        <v>-9.2999999999999992E-3</v>
      </c>
    </row>
    <row r="269" spans="1:7" x14ac:dyDescent="0.3">
      <c r="A269" s="54">
        <v>44223</v>
      </c>
      <c r="B269" s="45">
        <v>17516.93</v>
      </c>
      <c r="C269" s="45">
        <v>17516.93</v>
      </c>
      <c r="D269" s="45">
        <v>17516.93</v>
      </c>
      <c r="E269" s="45">
        <v>17516.93</v>
      </c>
      <c r="F269" s="18"/>
      <c r="G269" s="22">
        <v>-1.67E-2</v>
      </c>
    </row>
    <row r="270" spans="1:7" x14ac:dyDescent="0.3">
      <c r="A270" s="54">
        <v>44224</v>
      </c>
      <c r="B270" s="45">
        <v>17359.8</v>
      </c>
      <c r="C270" s="45">
        <v>17359.8</v>
      </c>
      <c r="D270" s="45">
        <v>17359.8</v>
      </c>
      <c r="E270" s="45">
        <v>17359.8</v>
      </c>
      <c r="F270" s="18"/>
      <c r="G270" s="22">
        <v>-8.9999999999999993E-3</v>
      </c>
    </row>
    <row r="271" spans="1:7" x14ac:dyDescent="0.3">
      <c r="A271" s="54">
        <v>44225</v>
      </c>
      <c r="B271" s="45">
        <v>17147.27</v>
      </c>
      <c r="C271" s="45">
        <v>17147.27</v>
      </c>
      <c r="D271" s="45">
        <v>17147.27</v>
      </c>
      <c r="E271" s="45">
        <v>17147.27</v>
      </c>
      <c r="F271" s="18"/>
      <c r="G271" s="22">
        <v>-1.2200000000000001E-2</v>
      </c>
    </row>
    <row r="272" spans="1:7" x14ac:dyDescent="0.3">
      <c r="A272" s="54">
        <v>44228</v>
      </c>
      <c r="B272" s="45">
        <v>17857.07</v>
      </c>
      <c r="C272" s="45">
        <v>17857.07</v>
      </c>
      <c r="D272" s="45">
        <v>17857.07</v>
      </c>
      <c r="E272" s="45">
        <v>17857.07</v>
      </c>
      <c r="F272" s="18"/>
      <c r="G272" s="22">
        <v>4.1399999999999999E-2</v>
      </c>
    </row>
    <row r="273" spans="1:7" x14ac:dyDescent="0.3">
      <c r="A273" s="54">
        <v>44229</v>
      </c>
      <c r="B273" s="45">
        <v>18286.87</v>
      </c>
      <c r="C273" s="45">
        <v>18286.87</v>
      </c>
      <c r="D273" s="45">
        <v>18286.87</v>
      </c>
      <c r="E273" s="45">
        <v>18286.87</v>
      </c>
      <c r="F273" s="18"/>
      <c r="G273" s="22">
        <v>2.41E-2</v>
      </c>
    </row>
    <row r="274" spans="1:7" x14ac:dyDescent="0.3">
      <c r="A274" s="54">
        <v>44230</v>
      </c>
      <c r="B274" s="45">
        <v>18470.150000000001</v>
      </c>
      <c r="C274" s="45">
        <v>18470.150000000001</v>
      </c>
      <c r="D274" s="45">
        <v>18470.150000000001</v>
      </c>
      <c r="E274" s="45">
        <v>18470.150000000001</v>
      </c>
      <c r="F274" s="18"/>
      <c r="G274" s="22">
        <v>0.01</v>
      </c>
    </row>
    <row r="275" spans="1:7" x14ac:dyDescent="0.3">
      <c r="A275" s="54">
        <v>44231</v>
      </c>
      <c r="B275" s="45">
        <v>18640.59</v>
      </c>
      <c r="C275" s="45">
        <v>18640.59</v>
      </c>
      <c r="D275" s="45">
        <v>18640.59</v>
      </c>
      <c r="E275" s="45">
        <v>18640.59</v>
      </c>
      <c r="F275" s="18"/>
      <c r="G275" s="22">
        <v>9.1999999999999998E-3</v>
      </c>
    </row>
    <row r="276" spans="1:7" x14ac:dyDescent="0.3">
      <c r="A276" s="54">
        <v>44232</v>
      </c>
      <c r="B276" s="45">
        <v>18631.61</v>
      </c>
      <c r="C276" s="45">
        <v>18631.61</v>
      </c>
      <c r="D276" s="45">
        <v>18631.61</v>
      </c>
      <c r="E276" s="45">
        <v>18631.61</v>
      </c>
      <c r="F276" s="18"/>
      <c r="G276" s="22">
        <v>-5.0000000000000001E-4</v>
      </c>
    </row>
    <row r="277" spans="1:7" x14ac:dyDescent="0.3">
      <c r="A277" s="54">
        <v>44235</v>
      </c>
      <c r="B277" s="45">
        <v>18876.939999999999</v>
      </c>
      <c r="C277" s="45">
        <v>18876.939999999999</v>
      </c>
      <c r="D277" s="45">
        <v>18876.939999999999</v>
      </c>
      <c r="E277" s="45">
        <v>18876.939999999999</v>
      </c>
      <c r="F277" s="18"/>
      <c r="G277" s="22">
        <v>1.32E-2</v>
      </c>
    </row>
    <row r="278" spans="1:7" x14ac:dyDescent="0.3">
      <c r="A278" s="54">
        <v>44236</v>
      </c>
      <c r="B278" s="45">
        <v>18867.87</v>
      </c>
      <c r="C278" s="45">
        <v>18867.87</v>
      </c>
      <c r="D278" s="45">
        <v>18867.87</v>
      </c>
      <c r="E278" s="45">
        <v>18867.87</v>
      </c>
      <c r="F278" s="18"/>
      <c r="G278" s="22">
        <v>-5.0000000000000001E-4</v>
      </c>
    </row>
    <row r="279" spans="1:7" x14ac:dyDescent="0.3">
      <c r="A279" s="54">
        <v>44237</v>
      </c>
      <c r="B279" s="45">
        <v>18896</v>
      </c>
      <c r="C279" s="45">
        <v>18896</v>
      </c>
      <c r="D279" s="45">
        <v>18896</v>
      </c>
      <c r="E279" s="45">
        <v>18896</v>
      </c>
      <c r="F279" s="18"/>
      <c r="G279" s="22">
        <v>1.5E-3</v>
      </c>
    </row>
    <row r="280" spans="1:7" x14ac:dyDescent="0.3">
      <c r="A280" s="54">
        <v>44238</v>
      </c>
      <c r="B280" s="45">
        <v>18993.38</v>
      </c>
      <c r="C280" s="45">
        <v>18993.38</v>
      </c>
      <c r="D280" s="45">
        <v>18993.38</v>
      </c>
      <c r="E280" s="45">
        <v>18993.38</v>
      </c>
      <c r="F280" s="18"/>
      <c r="G280" s="22">
        <v>5.1999999999999998E-3</v>
      </c>
    </row>
    <row r="281" spans="1:7" x14ac:dyDescent="0.3">
      <c r="A281" s="54">
        <v>44239</v>
      </c>
      <c r="B281" s="45">
        <v>18984.95</v>
      </c>
      <c r="C281" s="45">
        <v>18984.95</v>
      </c>
      <c r="D281" s="45">
        <v>18984.95</v>
      </c>
      <c r="E281" s="45">
        <v>18984.95</v>
      </c>
      <c r="F281" s="18"/>
      <c r="G281" s="22">
        <v>-4.0000000000000002E-4</v>
      </c>
    </row>
    <row r="282" spans="1:7" x14ac:dyDescent="0.3">
      <c r="A282" s="54">
        <v>44242</v>
      </c>
      <c r="B282" s="45">
        <v>19174.53</v>
      </c>
      <c r="C282" s="45">
        <v>19174.53</v>
      </c>
      <c r="D282" s="45">
        <v>19174.53</v>
      </c>
      <c r="E282" s="45">
        <v>19174.53</v>
      </c>
      <c r="F282" s="18"/>
      <c r="G282" s="22">
        <v>0.01</v>
      </c>
    </row>
    <row r="283" spans="1:7" x14ac:dyDescent="0.3">
      <c r="A283" s="54">
        <v>44243</v>
      </c>
      <c r="B283" s="45">
        <v>19197.73</v>
      </c>
      <c r="C283" s="45">
        <v>19197.73</v>
      </c>
      <c r="D283" s="45">
        <v>19197.73</v>
      </c>
      <c r="E283" s="45">
        <v>19197.73</v>
      </c>
      <c r="F283" s="18"/>
      <c r="G283" s="22">
        <v>1.1999999999999999E-3</v>
      </c>
    </row>
    <row r="284" spans="1:7" x14ac:dyDescent="0.3">
      <c r="A284" s="54">
        <v>44244</v>
      </c>
      <c r="B284" s="45">
        <v>19127.05</v>
      </c>
      <c r="C284" s="45">
        <v>19127.05</v>
      </c>
      <c r="D284" s="45">
        <v>19127.05</v>
      </c>
      <c r="E284" s="45">
        <v>19127.05</v>
      </c>
      <c r="F284" s="18"/>
      <c r="G284" s="22">
        <v>-3.7000000000000002E-3</v>
      </c>
    </row>
    <row r="285" spans="1:7" x14ac:dyDescent="0.3">
      <c r="A285" s="54">
        <v>44245</v>
      </c>
      <c r="B285" s="45">
        <v>19079.009999999998</v>
      </c>
      <c r="C285" s="45">
        <v>19079.009999999998</v>
      </c>
      <c r="D285" s="45">
        <v>19079.009999999998</v>
      </c>
      <c r="E285" s="45">
        <v>19079.009999999998</v>
      </c>
      <c r="F285" s="18"/>
      <c r="G285" s="22">
        <v>-2.5000000000000001E-3</v>
      </c>
    </row>
    <row r="286" spans="1:7" x14ac:dyDescent="0.3">
      <c r="A286" s="54">
        <v>44246</v>
      </c>
      <c r="B286" s="45">
        <v>18886.34</v>
      </c>
      <c r="C286" s="45">
        <v>18886.34</v>
      </c>
      <c r="D286" s="45">
        <v>18886.34</v>
      </c>
      <c r="E286" s="45">
        <v>18886.34</v>
      </c>
      <c r="F286" s="18"/>
      <c r="G286" s="22">
        <v>-1.01E-2</v>
      </c>
    </row>
    <row r="287" spans="1:7" x14ac:dyDescent="0.3">
      <c r="A287" s="54">
        <v>44249</v>
      </c>
      <c r="B287" s="45">
        <v>18551.849999999999</v>
      </c>
      <c r="C287" s="45">
        <v>18551.849999999999</v>
      </c>
      <c r="D287" s="45">
        <v>18551.849999999999</v>
      </c>
      <c r="E287" s="45">
        <v>18551.849999999999</v>
      </c>
      <c r="F287" s="18"/>
      <c r="G287" s="22">
        <v>-1.77E-2</v>
      </c>
    </row>
    <row r="288" spans="1:7" x14ac:dyDescent="0.3">
      <c r="A288" s="54">
        <v>44250</v>
      </c>
      <c r="B288" s="45">
        <v>18629.78</v>
      </c>
      <c r="C288" s="45">
        <v>18629.78</v>
      </c>
      <c r="D288" s="45">
        <v>18629.78</v>
      </c>
      <c r="E288" s="45">
        <v>18629.78</v>
      </c>
      <c r="F288" s="18"/>
      <c r="G288" s="22">
        <v>4.1999999999999997E-3</v>
      </c>
    </row>
    <row r="289" spans="1:7" x14ac:dyDescent="0.3">
      <c r="A289" s="54">
        <v>44251</v>
      </c>
      <c r="B289" s="45">
        <v>18920.72</v>
      </c>
      <c r="C289" s="45">
        <v>18920.72</v>
      </c>
      <c r="D289" s="45">
        <v>18920.72</v>
      </c>
      <c r="E289" s="45">
        <v>18920.72</v>
      </c>
      <c r="F289" s="18"/>
      <c r="G289" s="22">
        <v>1.5599999999999999E-2</v>
      </c>
    </row>
    <row r="290" spans="1:7" x14ac:dyDescent="0.3">
      <c r="A290" s="54">
        <v>44252</v>
      </c>
      <c r="B290" s="45">
        <v>19091.93</v>
      </c>
      <c r="C290" s="45">
        <v>19091.93</v>
      </c>
      <c r="D290" s="45">
        <v>19091.93</v>
      </c>
      <c r="E290" s="45">
        <v>19091.93</v>
      </c>
      <c r="F290" s="18"/>
      <c r="G290" s="22">
        <v>8.9999999999999993E-3</v>
      </c>
    </row>
    <row r="291" spans="1:7" x14ac:dyDescent="0.3">
      <c r="A291" s="54">
        <v>44253</v>
      </c>
      <c r="B291" s="45">
        <v>18504.86</v>
      </c>
      <c r="C291" s="45">
        <v>18504.86</v>
      </c>
      <c r="D291" s="45">
        <v>18504.86</v>
      </c>
      <c r="E291" s="45">
        <v>18504.86</v>
      </c>
      <c r="F291" s="18"/>
      <c r="G291" s="22">
        <v>-3.0700000000000002E-2</v>
      </c>
    </row>
    <row r="292" spans="1:7" x14ac:dyDescent="0.3">
      <c r="A292" s="54">
        <v>44256</v>
      </c>
      <c r="B292" s="45">
        <v>18788.79</v>
      </c>
      <c r="C292" s="45">
        <v>18788.79</v>
      </c>
      <c r="D292" s="45">
        <v>18788.79</v>
      </c>
      <c r="E292" s="45">
        <v>18788.79</v>
      </c>
      <c r="F292" s="18"/>
      <c r="G292" s="22">
        <v>1.5299999999999999E-2</v>
      </c>
    </row>
    <row r="293" spans="1:7" x14ac:dyDescent="0.3">
      <c r="A293" s="54">
        <v>44257</v>
      </c>
      <c r="B293" s="45">
        <v>19018.349999999999</v>
      </c>
      <c r="C293" s="45">
        <v>19018.349999999999</v>
      </c>
      <c r="D293" s="45">
        <v>19018.349999999999</v>
      </c>
      <c r="E293" s="45">
        <v>19018.349999999999</v>
      </c>
      <c r="F293" s="18"/>
      <c r="G293" s="22">
        <v>1.2200000000000001E-2</v>
      </c>
    </row>
    <row r="294" spans="1:7" x14ac:dyDescent="0.3">
      <c r="A294" s="54">
        <v>44258</v>
      </c>
      <c r="B294" s="45">
        <v>19391.150000000001</v>
      </c>
      <c r="C294" s="45">
        <v>19391.150000000001</v>
      </c>
      <c r="D294" s="45">
        <v>19391.150000000001</v>
      </c>
      <c r="E294" s="45">
        <v>19391.150000000001</v>
      </c>
      <c r="F294" s="18"/>
      <c r="G294" s="22">
        <v>1.9599999999999999E-2</v>
      </c>
    </row>
    <row r="295" spans="1:7" x14ac:dyDescent="0.3">
      <c r="A295" s="54">
        <v>44259</v>
      </c>
      <c r="B295" s="45">
        <v>19275.759999999998</v>
      </c>
      <c r="C295" s="45">
        <v>19275.759999999998</v>
      </c>
      <c r="D295" s="45">
        <v>19275.759999999998</v>
      </c>
      <c r="E295" s="45">
        <v>19275.759999999998</v>
      </c>
      <c r="F295" s="18"/>
      <c r="G295" s="22">
        <v>-6.0000000000000001E-3</v>
      </c>
    </row>
    <row r="296" spans="1:7" x14ac:dyDescent="0.3">
      <c r="A296" s="54">
        <v>44260</v>
      </c>
      <c r="B296" s="45">
        <v>19048.330000000002</v>
      </c>
      <c r="C296" s="45">
        <v>19048.330000000002</v>
      </c>
      <c r="D296" s="45">
        <v>19048.330000000002</v>
      </c>
      <c r="E296" s="45">
        <v>19048.330000000002</v>
      </c>
      <c r="F296" s="18"/>
      <c r="G296" s="22">
        <v>-1.18E-2</v>
      </c>
    </row>
    <row r="297" spans="1:7" x14ac:dyDescent="0.3">
      <c r="A297" s="54">
        <v>44263</v>
      </c>
      <c r="B297" s="45">
        <v>19080.72</v>
      </c>
      <c r="C297" s="45">
        <v>19080.72</v>
      </c>
      <c r="D297" s="45">
        <v>19080.72</v>
      </c>
      <c r="E297" s="45">
        <v>19080.72</v>
      </c>
      <c r="F297" s="18"/>
      <c r="G297" s="22">
        <v>1.6999999999999999E-3</v>
      </c>
    </row>
    <row r="298" spans="1:7" x14ac:dyDescent="0.3">
      <c r="A298" s="54">
        <v>44264</v>
      </c>
      <c r="B298" s="45">
        <v>19169.29</v>
      </c>
      <c r="C298" s="45">
        <v>19169.29</v>
      </c>
      <c r="D298" s="45">
        <v>19169.29</v>
      </c>
      <c r="E298" s="45">
        <v>19169.29</v>
      </c>
      <c r="F298" s="18"/>
      <c r="G298" s="22">
        <v>4.5999999999999999E-3</v>
      </c>
    </row>
    <row r="299" spans="1:7" x14ac:dyDescent="0.3">
      <c r="A299" s="54">
        <v>44265</v>
      </c>
      <c r="B299" s="45">
        <v>19282.39</v>
      </c>
      <c r="C299" s="45">
        <v>19282.39</v>
      </c>
      <c r="D299" s="45">
        <v>19282.39</v>
      </c>
      <c r="E299" s="45">
        <v>19282.39</v>
      </c>
      <c r="F299" s="18"/>
      <c r="G299" s="22">
        <v>5.8999999999999999E-3</v>
      </c>
    </row>
    <row r="300" spans="1:7" x14ac:dyDescent="0.3">
      <c r="A300" s="54">
        <v>44267</v>
      </c>
      <c r="B300" s="45">
        <v>19134.34</v>
      </c>
      <c r="C300" s="45">
        <v>19134.34</v>
      </c>
      <c r="D300" s="45">
        <v>19134.34</v>
      </c>
      <c r="E300" s="45">
        <v>19134.34</v>
      </c>
      <c r="F300" s="18"/>
      <c r="G300" s="22">
        <v>-7.7000000000000002E-3</v>
      </c>
    </row>
    <row r="301" spans="1:7" x14ac:dyDescent="0.3">
      <c r="A301" s="54">
        <v>44270</v>
      </c>
      <c r="B301" s="45">
        <v>19009.240000000002</v>
      </c>
      <c r="C301" s="45">
        <v>19009.240000000002</v>
      </c>
      <c r="D301" s="45">
        <v>19009.240000000002</v>
      </c>
      <c r="E301" s="45">
        <v>19009.240000000002</v>
      </c>
      <c r="F301" s="18"/>
      <c r="G301" s="22">
        <v>-6.4999999999999997E-3</v>
      </c>
    </row>
    <row r="302" spans="1:7" x14ac:dyDescent="0.3">
      <c r="A302" s="54">
        <v>44271</v>
      </c>
      <c r="B302" s="45">
        <v>19013.09</v>
      </c>
      <c r="C302" s="45">
        <v>19013.09</v>
      </c>
      <c r="D302" s="45">
        <v>19013.09</v>
      </c>
      <c r="E302" s="45">
        <v>19013.09</v>
      </c>
      <c r="F302" s="18"/>
      <c r="G302" s="22">
        <v>2.0000000000000001E-4</v>
      </c>
    </row>
    <row r="303" spans="1:7" x14ac:dyDescent="0.3">
      <c r="A303" s="54">
        <v>44272</v>
      </c>
      <c r="B303" s="45">
        <v>18720.14</v>
      </c>
      <c r="C303" s="45">
        <v>18720.14</v>
      </c>
      <c r="D303" s="45">
        <v>18720.14</v>
      </c>
      <c r="E303" s="45">
        <v>18720.14</v>
      </c>
      <c r="F303" s="18"/>
      <c r="G303" s="22">
        <v>-1.54E-2</v>
      </c>
    </row>
    <row r="304" spans="1:7" x14ac:dyDescent="0.3">
      <c r="A304" s="54">
        <v>44273</v>
      </c>
      <c r="B304" s="45">
        <v>18500.439999999999</v>
      </c>
      <c r="C304" s="45">
        <v>18500.439999999999</v>
      </c>
      <c r="D304" s="45">
        <v>18500.439999999999</v>
      </c>
      <c r="E304" s="45">
        <v>18500.439999999999</v>
      </c>
      <c r="F304" s="18"/>
      <c r="G304" s="22">
        <v>-1.17E-2</v>
      </c>
    </row>
    <row r="305" spans="1:7" x14ac:dyDescent="0.3">
      <c r="A305" s="54">
        <v>44274</v>
      </c>
      <c r="B305" s="45">
        <v>18713.400000000001</v>
      </c>
      <c r="C305" s="45">
        <v>18713.400000000001</v>
      </c>
      <c r="D305" s="45">
        <v>18713.400000000001</v>
      </c>
      <c r="E305" s="45">
        <v>18713.400000000001</v>
      </c>
      <c r="F305" s="18"/>
      <c r="G305" s="22">
        <v>1.15E-2</v>
      </c>
    </row>
    <row r="306" spans="1:7" x14ac:dyDescent="0.3">
      <c r="A306" s="54">
        <v>44277</v>
      </c>
      <c r="B306" s="45">
        <v>18751.47</v>
      </c>
      <c r="C306" s="45">
        <v>18751.47</v>
      </c>
      <c r="D306" s="45">
        <v>18751.47</v>
      </c>
      <c r="E306" s="45">
        <v>18751.47</v>
      </c>
      <c r="F306" s="18"/>
      <c r="G306" s="22">
        <v>2E-3</v>
      </c>
    </row>
    <row r="307" spans="1:7" x14ac:dyDescent="0.3">
      <c r="A307" s="54">
        <v>44278</v>
      </c>
      <c r="B307" s="45">
        <v>18872.96</v>
      </c>
      <c r="C307" s="45">
        <v>18872.96</v>
      </c>
      <c r="D307" s="45">
        <v>18872.96</v>
      </c>
      <c r="E307" s="45">
        <v>18872.96</v>
      </c>
      <c r="F307" s="18"/>
      <c r="G307" s="22">
        <v>6.4999999999999997E-3</v>
      </c>
    </row>
    <row r="308" spans="1:7" x14ac:dyDescent="0.3">
      <c r="A308" s="54">
        <v>44279</v>
      </c>
      <c r="B308" s="45">
        <v>18538.400000000001</v>
      </c>
      <c r="C308" s="45">
        <v>18538.400000000001</v>
      </c>
      <c r="D308" s="45">
        <v>18538.400000000001</v>
      </c>
      <c r="E308" s="45">
        <v>18538.400000000001</v>
      </c>
      <c r="F308" s="18"/>
      <c r="G308" s="22">
        <v>-1.77E-2</v>
      </c>
    </row>
    <row r="309" spans="1:7" x14ac:dyDescent="0.3">
      <c r="A309" s="54">
        <v>44280</v>
      </c>
      <c r="B309" s="45">
        <v>18229.330000000002</v>
      </c>
      <c r="C309" s="45">
        <v>18229.330000000002</v>
      </c>
      <c r="D309" s="45">
        <v>18229.330000000002</v>
      </c>
      <c r="E309" s="45">
        <v>18229.330000000002</v>
      </c>
      <c r="F309" s="18"/>
      <c r="G309" s="22">
        <v>-1.67E-2</v>
      </c>
    </row>
    <row r="310" spans="1:7" x14ac:dyDescent="0.3">
      <c r="A310" s="54">
        <v>44281</v>
      </c>
      <c r="B310" s="45">
        <v>18465.849999999999</v>
      </c>
      <c r="C310" s="45">
        <v>18465.849999999999</v>
      </c>
      <c r="D310" s="45">
        <v>18465.849999999999</v>
      </c>
      <c r="E310" s="45">
        <v>18465.849999999999</v>
      </c>
      <c r="F310" s="18"/>
      <c r="G310" s="22">
        <v>1.2999999999999999E-2</v>
      </c>
    </row>
    <row r="311" spans="1:7" x14ac:dyDescent="0.3">
      <c r="A311" s="54">
        <v>44285</v>
      </c>
      <c r="B311" s="45">
        <v>18830.03</v>
      </c>
      <c r="C311" s="45">
        <v>18830.03</v>
      </c>
      <c r="D311" s="45">
        <v>18830.03</v>
      </c>
      <c r="E311" s="45">
        <v>18830.03</v>
      </c>
      <c r="F311" s="18"/>
      <c r="G311" s="22">
        <v>1.9699999999999999E-2</v>
      </c>
    </row>
    <row r="312" spans="1:7" x14ac:dyDescent="0.3">
      <c r="A312" s="54">
        <v>44286</v>
      </c>
      <c r="B312" s="45">
        <v>18717.240000000002</v>
      </c>
      <c r="C312" s="45">
        <v>18717.240000000002</v>
      </c>
      <c r="D312" s="45">
        <v>18717.240000000002</v>
      </c>
      <c r="E312" s="45">
        <v>18717.240000000002</v>
      </c>
      <c r="F312" s="18"/>
      <c r="G312" s="22">
        <v>-6.0000000000000001E-3</v>
      </c>
    </row>
    <row r="313" spans="1:7" x14ac:dyDescent="0.3">
      <c r="A313" s="54">
        <v>44287</v>
      </c>
      <c r="B313" s="45">
        <v>18968.55</v>
      </c>
      <c r="C313" s="45">
        <v>18968.55</v>
      </c>
      <c r="D313" s="45">
        <v>18968.55</v>
      </c>
      <c r="E313" s="45">
        <v>18968.55</v>
      </c>
      <c r="F313" s="18"/>
      <c r="G313" s="22">
        <v>1.34E-2</v>
      </c>
    </row>
    <row r="314" spans="1:7" x14ac:dyDescent="0.3">
      <c r="A314" s="54">
        <v>44291</v>
      </c>
      <c r="B314" s="45">
        <v>18694.759999999998</v>
      </c>
      <c r="C314" s="45">
        <v>18694.759999999998</v>
      </c>
      <c r="D314" s="45">
        <v>18694.759999999998</v>
      </c>
      <c r="E314" s="45">
        <v>18694.759999999998</v>
      </c>
      <c r="F314" s="18"/>
      <c r="G314" s="22">
        <v>-1.44E-2</v>
      </c>
    </row>
    <row r="315" spans="1:7" x14ac:dyDescent="0.3">
      <c r="A315" s="54">
        <v>44292</v>
      </c>
      <c r="B315" s="45">
        <v>18785.23</v>
      </c>
      <c r="C315" s="45">
        <v>18785.23</v>
      </c>
      <c r="D315" s="45">
        <v>18785.23</v>
      </c>
      <c r="E315" s="45">
        <v>18785.23</v>
      </c>
      <c r="F315" s="18"/>
      <c r="G315" s="22">
        <v>4.7999999999999996E-3</v>
      </c>
    </row>
    <row r="316" spans="1:7" x14ac:dyDescent="0.3">
      <c r="A316" s="54">
        <v>44293</v>
      </c>
      <c r="B316" s="45">
        <v>18972.599999999999</v>
      </c>
      <c r="C316" s="45">
        <v>18972.599999999999</v>
      </c>
      <c r="D316" s="45">
        <v>18972.599999999999</v>
      </c>
      <c r="E316" s="45">
        <v>18972.599999999999</v>
      </c>
      <c r="F316" s="18"/>
      <c r="G316" s="22">
        <v>0.01</v>
      </c>
    </row>
    <row r="317" spans="1:7" x14ac:dyDescent="0.3">
      <c r="A317" s="54">
        <v>44294</v>
      </c>
      <c r="B317" s="45">
        <v>19065.82</v>
      </c>
      <c r="C317" s="45">
        <v>19065.82</v>
      </c>
      <c r="D317" s="45">
        <v>19065.82</v>
      </c>
      <c r="E317" s="45">
        <v>19065.82</v>
      </c>
      <c r="F317" s="18"/>
      <c r="G317" s="22">
        <v>4.8999999999999998E-3</v>
      </c>
    </row>
    <row r="318" spans="1:7" x14ac:dyDescent="0.3">
      <c r="A318" s="54">
        <v>44295</v>
      </c>
      <c r="B318" s="45">
        <v>19044.22</v>
      </c>
      <c r="C318" s="45">
        <v>19044.22</v>
      </c>
      <c r="D318" s="45">
        <v>19044.22</v>
      </c>
      <c r="E318" s="45">
        <v>19044.22</v>
      </c>
      <c r="F318" s="18"/>
      <c r="G318" s="22">
        <v>-1.1000000000000001E-3</v>
      </c>
    </row>
    <row r="319" spans="1:7" x14ac:dyDescent="0.3">
      <c r="A319" s="54">
        <v>44298</v>
      </c>
      <c r="B319" s="45">
        <v>18279.05</v>
      </c>
      <c r="C319" s="45">
        <v>18279.05</v>
      </c>
      <c r="D319" s="45">
        <v>18279.05</v>
      </c>
      <c r="E319" s="45">
        <v>18279.05</v>
      </c>
      <c r="F319" s="18"/>
      <c r="G319" s="22">
        <v>-4.02E-2</v>
      </c>
    </row>
    <row r="320" spans="1:7" x14ac:dyDescent="0.3">
      <c r="A320" s="54">
        <v>44299</v>
      </c>
      <c r="B320" s="45">
        <v>18526.240000000002</v>
      </c>
      <c r="C320" s="45">
        <v>18526.240000000002</v>
      </c>
      <c r="D320" s="45">
        <v>18526.240000000002</v>
      </c>
      <c r="E320" s="45">
        <v>18526.240000000002</v>
      </c>
      <c r="F320" s="18"/>
      <c r="G320" s="22">
        <v>1.35E-2</v>
      </c>
    </row>
    <row r="321" spans="1:7" x14ac:dyDescent="0.3">
      <c r="A321" s="54">
        <v>44301</v>
      </c>
      <c r="B321" s="45">
        <v>18603.68</v>
      </c>
      <c r="C321" s="45">
        <v>18603.68</v>
      </c>
      <c r="D321" s="45">
        <v>18603.68</v>
      </c>
      <c r="E321" s="45">
        <v>18603.68</v>
      </c>
      <c r="F321" s="18"/>
      <c r="G321" s="22">
        <v>4.1999999999999997E-3</v>
      </c>
    </row>
    <row r="322" spans="1:7" x14ac:dyDescent="0.3">
      <c r="A322" s="54">
        <v>44302</v>
      </c>
      <c r="B322" s="45">
        <v>18695.580000000002</v>
      </c>
      <c r="C322" s="45">
        <v>18695.580000000002</v>
      </c>
      <c r="D322" s="45">
        <v>18695.580000000002</v>
      </c>
      <c r="E322" s="45">
        <v>18695.580000000002</v>
      </c>
      <c r="F322" s="18"/>
      <c r="G322" s="22">
        <v>4.8999999999999998E-3</v>
      </c>
    </row>
    <row r="323" spans="1:7" x14ac:dyDescent="0.3">
      <c r="A323" s="54">
        <v>44305</v>
      </c>
      <c r="B323" s="45">
        <v>18359.48</v>
      </c>
      <c r="C323" s="45">
        <v>18359.48</v>
      </c>
      <c r="D323" s="45">
        <v>18359.48</v>
      </c>
      <c r="E323" s="45">
        <v>18359.48</v>
      </c>
      <c r="F323" s="18"/>
      <c r="G323" s="22">
        <v>-1.7999999999999999E-2</v>
      </c>
    </row>
    <row r="324" spans="1:7" x14ac:dyDescent="0.3">
      <c r="A324" s="54">
        <v>44306</v>
      </c>
      <c r="B324" s="45">
        <v>18327.47</v>
      </c>
      <c r="C324" s="45">
        <v>18327.47</v>
      </c>
      <c r="D324" s="45">
        <v>18327.47</v>
      </c>
      <c r="E324" s="45">
        <v>18327.47</v>
      </c>
      <c r="F324" s="18"/>
      <c r="G324" s="22">
        <v>-1.6999999999999999E-3</v>
      </c>
    </row>
    <row r="325" spans="1:7" x14ac:dyDescent="0.3">
      <c r="A325" s="54">
        <v>44308</v>
      </c>
      <c r="B325" s="45">
        <v>18444.73</v>
      </c>
      <c r="C325" s="45">
        <v>18444.73</v>
      </c>
      <c r="D325" s="45">
        <v>18444.73</v>
      </c>
      <c r="E325" s="45">
        <v>18444.73</v>
      </c>
      <c r="F325" s="18"/>
      <c r="G325" s="22">
        <v>6.4000000000000003E-3</v>
      </c>
    </row>
    <row r="326" spans="1:7" x14ac:dyDescent="0.3">
      <c r="A326" s="54">
        <v>44309</v>
      </c>
      <c r="B326" s="45">
        <v>18404.47</v>
      </c>
      <c r="C326" s="45">
        <v>18404.47</v>
      </c>
      <c r="D326" s="45">
        <v>18404.47</v>
      </c>
      <c r="E326" s="45">
        <v>18404.47</v>
      </c>
      <c r="F326" s="18"/>
      <c r="G326" s="22">
        <v>-2.2000000000000001E-3</v>
      </c>
    </row>
    <row r="327" spans="1:7" x14ac:dyDescent="0.3">
      <c r="A327" s="54">
        <v>44313</v>
      </c>
      <c r="B327" s="45">
        <v>18795.169999999998</v>
      </c>
      <c r="C327" s="45">
        <v>18795.169999999998</v>
      </c>
      <c r="D327" s="45">
        <v>18795.169999999998</v>
      </c>
      <c r="E327" s="45">
        <v>18795.169999999998</v>
      </c>
      <c r="F327" s="18"/>
      <c r="G327" s="22">
        <v>2.12E-2</v>
      </c>
    </row>
    <row r="328" spans="1:7" x14ac:dyDescent="0.3">
      <c r="A328" s="54">
        <v>44314</v>
      </c>
      <c r="B328" s="45">
        <v>19031.439999999999</v>
      </c>
      <c r="C328" s="45">
        <v>19031.439999999999</v>
      </c>
      <c r="D328" s="45">
        <v>19031.439999999999</v>
      </c>
      <c r="E328" s="45">
        <v>19031.439999999999</v>
      </c>
      <c r="F328" s="18"/>
      <c r="G328" s="22">
        <v>1.26E-2</v>
      </c>
    </row>
    <row r="329" spans="1:7" x14ac:dyDescent="0.3">
      <c r="A329" s="54">
        <v>44315</v>
      </c>
      <c r="B329" s="45">
        <v>19058.16</v>
      </c>
      <c r="C329" s="45">
        <v>19058.16</v>
      </c>
      <c r="D329" s="45">
        <v>19058.16</v>
      </c>
      <c r="E329" s="45">
        <v>19058.16</v>
      </c>
      <c r="F329" s="18"/>
      <c r="G329" s="22">
        <v>1.4E-3</v>
      </c>
    </row>
    <row r="330" spans="1:7" x14ac:dyDescent="0.3">
      <c r="A330" s="54">
        <v>44316</v>
      </c>
      <c r="B330" s="45">
        <v>18802.03</v>
      </c>
      <c r="C330" s="45">
        <v>18802.03</v>
      </c>
      <c r="D330" s="45">
        <v>18802.03</v>
      </c>
      <c r="E330" s="45">
        <v>18802.03</v>
      </c>
      <c r="F330" s="18"/>
      <c r="G330" s="22">
        <v>-1.34E-2</v>
      </c>
    </row>
    <row r="331" spans="1:7" x14ac:dyDescent="0.3">
      <c r="A331" s="54">
        <v>44319</v>
      </c>
      <c r="B331" s="45">
        <v>18848.97</v>
      </c>
      <c r="C331" s="45">
        <v>18848.97</v>
      </c>
      <c r="D331" s="45">
        <v>18848.97</v>
      </c>
      <c r="E331" s="45">
        <v>18848.97</v>
      </c>
      <c r="F331" s="18"/>
      <c r="G331" s="22">
        <v>2.5000000000000001E-3</v>
      </c>
    </row>
    <row r="332" spans="1:7" x14ac:dyDescent="0.3">
      <c r="A332" s="54">
        <v>44320</v>
      </c>
      <c r="B332" s="45">
        <v>18704.849999999999</v>
      </c>
      <c r="C332" s="45">
        <v>18704.849999999999</v>
      </c>
      <c r="D332" s="45">
        <v>18704.849999999999</v>
      </c>
      <c r="E332" s="45">
        <v>18704.849999999999</v>
      </c>
      <c r="F332" s="18"/>
      <c r="G332" s="22">
        <v>-7.6E-3</v>
      </c>
    </row>
    <row r="333" spans="1:7" x14ac:dyDescent="0.3">
      <c r="A333" s="54">
        <v>44321</v>
      </c>
      <c r="B333" s="45">
        <v>18876.03</v>
      </c>
      <c r="C333" s="45">
        <v>18876.03</v>
      </c>
      <c r="D333" s="45">
        <v>18876.03</v>
      </c>
      <c r="E333" s="45">
        <v>18876.03</v>
      </c>
      <c r="F333" s="18"/>
      <c r="G333" s="22">
        <v>9.1999999999999998E-3</v>
      </c>
    </row>
    <row r="334" spans="1:7" x14ac:dyDescent="0.3">
      <c r="A334" s="54">
        <v>44322</v>
      </c>
      <c r="B334" s="45">
        <v>19011.169999999998</v>
      </c>
      <c r="C334" s="45">
        <v>19011.169999999998</v>
      </c>
      <c r="D334" s="45">
        <v>19011.169999999998</v>
      </c>
      <c r="E334" s="45">
        <v>19011.169999999998</v>
      </c>
      <c r="F334" s="18"/>
      <c r="G334" s="22">
        <v>7.1999999999999998E-3</v>
      </c>
    </row>
    <row r="335" spans="1:7" x14ac:dyDescent="0.3">
      <c r="A335" s="54">
        <v>44323</v>
      </c>
      <c r="B335" s="45">
        <v>19104.240000000002</v>
      </c>
      <c r="C335" s="45">
        <v>19104.240000000002</v>
      </c>
      <c r="D335" s="45">
        <v>19104.240000000002</v>
      </c>
      <c r="E335" s="45">
        <v>19104.240000000002</v>
      </c>
      <c r="F335" s="18"/>
      <c r="G335" s="22">
        <v>4.8999999999999998E-3</v>
      </c>
    </row>
    <row r="336" spans="1:7" x14ac:dyDescent="0.3">
      <c r="A336" s="54">
        <v>44326</v>
      </c>
      <c r="B336" s="45">
        <v>19266.669999999998</v>
      </c>
      <c r="C336" s="45">
        <v>19266.669999999998</v>
      </c>
      <c r="D336" s="45">
        <v>19266.669999999998</v>
      </c>
      <c r="E336" s="45">
        <v>19266.669999999998</v>
      </c>
      <c r="F336" s="18"/>
      <c r="G336" s="22">
        <v>8.5000000000000006E-3</v>
      </c>
    </row>
    <row r="337" spans="1:7" x14ac:dyDescent="0.3">
      <c r="A337" s="54">
        <v>44327</v>
      </c>
      <c r="B337" s="45">
        <v>19225.099999999999</v>
      </c>
      <c r="C337" s="45">
        <v>19225.099999999999</v>
      </c>
      <c r="D337" s="45">
        <v>19225.099999999999</v>
      </c>
      <c r="E337" s="45">
        <v>19225.099999999999</v>
      </c>
      <c r="F337" s="18"/>
      <c r="G337" s="22">
        <v>-2.2000000000000001E-3</v>
      </c>
    </row>
    <row r="338" spans="1:7" x14ac:dyDescent="0.3">
      <c r="A338" s="54">
        <v>44328</v>
      </c>
      <c r="B338" s="45">
        <v>19066.54</v>
      </c>
      <c r="C338" s="45">
        <v>19066.54</v>
      </c>
      <c r="D338" s="45">
        <v>19066.54</v>
      </c>
      <c r="E338" s="45">
        <v>19066.54</v>
      </c>
      <c r="F338" s="18"/>
      <c r="G338" s="22">
        <v>-8.2000000000000007E-3</v>
      </c>
    </row>
    <row r="339" spans="1:7" x14ac:dyDescent="0.3">
      <c r="A339" s="54">
        <v>44330</v>
      </c>
      <c r="B339" s="45">
        <v>18966.490000000002</v>
      </c>
      <c r="C339" s="45">
        <v>18966.490000000002</v>
      </c>
      <c r="D339" s="45">
        <v>18966.490000000002</v>
      </c>
      <c r="E339" s="45">
        <v>18966.490000000002</v>
      </c>
      <c r="F339" s="18"/>
      <c r="G339" s="22">
        <v>-5.1999999999999998E-3</v>
      </c>
    </row>
    <row r="340" spans="1:7" x14ac:dyDescent="0.3">
      <c r="A340" s="54">
        <v>44333</v>
      </c>
      <c r="B340" s="45">
        <v>19270.53</v>
      </c>
      <c r="C340" s="45">
        <v>19270.53</v>
      </c>
      <c r="D340" s="45">
        <v>19270.53</v>
      </c>
      <c r="E340" s="45">
        <v>19270.53</v>
      </c>
      <c r="F340" s="18"/>
      <c r="G340" s="22">
        <v>1.6E-2</v>
      </c>
    </row>
    <row r="341" spans="1:7" x14ac:dyDescent="0.3">
      <c r="A341" s="54">
        <v>44334</v>
      </c>
      <c r="B341" s="45">
        <v>19524.650000000001</v>
      </c>
      <c r="C341" s="45">
        <v>19524.650000000001</v>
      </c>
      <c r="D341" s="45">
        <v>19524.650000000001</v>
      </c>
      <c r="E341" s="45">
        <v>19524.650000000001</v>
      </c>
      <c r="F341" s="18"/>
      <c r="G341" s="22">
        <v>1.32E-2</v>
      </c>
    </row>
    <row r="342" spans="1:7" x14ac:dyDescent="0.3">
      <c r="A342" s="54">
        <v>44335</v>
      </c>
      <c r="B342" s="45">
        <v>19478.900000000001</v>
      </c>
      <c r="C342" s="45">
        <v>19478.900000000001</v>
      </c>
      <c r="D342" s="45">
        <v>19478.900000000001</v>
      </c>
      <c r="E342" s="45">
        <v>19478.900000000001</v>
      </c>
      <c r="F342" s="18"/>
      <c r="G342" s="22">
        <v>-2.3E-3</v>
      </c>
    </row>
    <row r="343" spans="1:7" x14ac:dyDescent="0.3">
      <c r="A343" s="54">
        <v>44336</v>
      </c>
      <c r="B343" s="45">
        <v>19368.54</v>
      </c>
      <c r="C343" s="45">
        <v>19368.54</v>
      </c>
      <c r="D343" s="45">
        <v>19368.54</v>
      </c>
      <c r="E343" s="45">
        <v>19368.54</v>
      </c>
      <c r="F343" s="18"/>
      <c r="G343" s="22">
        <v>-5.7000000000000002E-3</v>
      </c>
    </row>
    <row r="344" spans="1:7" x14ac:dyDescent="0.3">
      <c r="A344" s="54">
        <v>44337</v>
      </c>
      <c r="B344" s="45">
        <v>19644.37</v>
      </c>
      <c r="C344" s="45">
        <v>19644.37</v>
      </c>
      <c r="D344" s="45">
        <v>19644.37</v>
      </c>
      <c r="E344" s="45">
        <v>19644.37</v>
      </c>
      <c r="F344" s="18"/>
      <c r="G344" s="22">
        <v>1.4200000000000001E-2</v>
      </c>
    </row>
    <row r="345" spans="1:7" x14ac:dyDescent="0.3">
      <c r="A345" s="54">
        <v>44340</v>
      </c>
      <c r="B345" s="45">
        <v>19712.23</v>
      </c>
      <c r="C345" s="45">
        <v>19712.23</v>
      </c>
      <c r="D345" s="45">
        <v>19712.23</v>
      </c>
      <c r="E345" s="45">
        <v>19712.23</v>
      </c>
      <c r="F345" s="18"/>
      <c r="G345" s="22">
        <v>3.5000000000000001E-3</v>
      </c>
    </row>
    <row r="346" spans="1:7" x14ac:dyDescent="0.3">
      <c r="A346" s="54">
        <v>44341</v>
      </c>
      <c r="B346" s="45">
        <v>19717.29</v>
      </c>
      <c r="C346" s="45">
        <v>19717.29</v>
      </c>
      <c r="D346" s="45">
        <v>19717.29</v>
      </c>
      <c r="E346" s="45">
        <v>19717.29</v>
      </c>
      <c r="F346" s="18"/>
      <c r="G346" s="22">
        <v>2.9999999999999997E-4</v>
      </c>
    </row>
    <row r="347" spans="1:7" x14ac:dyDescent="0.3">
      <c r="A347" s="54">
        <v>44342</v>
      </c>
      <c r="B347" s="45">
        <v>19807.349999999999</v>
      </c>
      <c r="C347" s="45">
        <v>19807.349999999999</v>
      </c>
      <c r="D347" s="45">
        <v>19807.349999999999</v>
      </c>
      <c r="E347" s="45">
        <v>19807.349999999999</v>
      </c>
      <c r="F347" s="18"/>
      <c r="G347" s="22">
        <v>4.5999999999999999E-3</v>
      </c>
    </row>
    <row r="348" spans="1:7" x14ac:dyDescent="0.3">
      <c r="A348" s="54">
        <v>44343</v>
      </c>
      <c r="B348" s="45">
        <v>19874.32</v>
      </c>
      <c r="C348" s="45">
        <v>19874.32</v>
      </c>
      <c r="D348" s="45">
        <v>19874.32</v>
      </c>
      <c r="E348" s="45">
        <v>19874.32</v>
      </c>
      <c r="F348" s="18"/>
      <c r="G348" s="22">
        <v>3.3999999999999998E-3</v>
      </c>
    </row>
    <row r="349" spans="1:7" x14ac:dyDescent="0.3">
      <c r="A349" s="54">
        <v>44344</v>
      </c>
      <c r="B349" s="45">
        <v>19952.29</v>
      </c>
      <c r="C349" s="45">
        <v>19952.29</v>
      </c>
      <c r="D349" s="45">
        <v>19952.29</v>
      </c>
      <c r="E349" s="45">
        <v>19952.29</v>
      </c>
      <c r="F349" s="18"/>
      <c r="G349" s="22">
        <v>3.8999999999999998E-3</v>
      </c>
    </row>
    <row r="350" spans="1:7" x14ac:dyDescent="0.3">
      <c r="A350" s="54">
        <v>44347</v>
      </c>
      <c r="B350" s="45">
        <v>20138.099999999999</v>
      </c>
      <c r="C350" s="45">
        <v>20138.099999999999</v>
      </c>
      <c r="D350" s="45">
        <v>20138.099999999999</v>
      </c>
      <c r="E350" s="45">
        <v>20138.099999999999</v>
      </c>
      <c r="F350" s="18"/>
      <c r="G350" s="22">
        <v>9.2999999999999992E-3</v>
      </c>
    </row>
    <row r="351" spans="1:7" x14ac:dyDescent="0.3">
      <c r="A351" s="54">
        <v>44348</v>
      </c>
      <c r="B351" s="45">
        <v>20113.79</v>
      </c>
      <c r="C351" s="45">
        <v>20113.79</v>
      </c>
      <c r="D351" s="45">
        <v>20113.79</v>
      </c>
      <c r="E351" s="45">
        <v>20113.79</v>
      </c>
      <c r="F351" s="18"/>
      <c r="G351" s="22">
        <v>-1.1999999999999999E-3</v>
      </c>
    </row>
    <row r="352" spans="1:7" x14ac:dyDescent="0.3">
      <c r="A352" s="54">
        <v>44349</v>
      </c>
      <c r="B352" s="45">
        <v>20210.990000000002</v>
      </c>
      <c r="C352" s="45">
        <v>20210.990000000002</v>
      </c>
      <c r="D352" s="45">
        <v>20210.990000000002</v>
      </c>
      <c r="E352" s="45">
        <v>20210.990000000002</v>
      </c>
      <c r="F352" s="18"/>
      <c r="G352" s="22">
        <v>4.7999999999999996E-3</v>
      </c>
    </row>
    <row r="353" spans="1:7" x14ac:dyDescent="0.3">
      <c r="A353" s="54">
        <v>44350</v>
      </c>
      <c r="B353" s="45">
        <v>20376.14</v>
      </c>
      <c r="C353" s="45">
        <v>20376.14</v>
      </c>
      <c r="D353" s="45">
        <v>20376.14</v>
      </c>
      <c r="E353" s="45">
        <v>20376.14</v>
      </c>
      <c r="F353" s="18"/>
      <c r="G353" s="22">
        <v>8.2000000000000007E-3</v>
      </c>
    </row>
    <row r="354" spans="1:7" x14ac:dyDescent="0.3">
      <c r="A354" s="54">
        <v>44351</v>
      </c>
      <c r="B354" s="45">
        <v>20396.669999999998</v>
      </c>
      <c r="C354" s="45">
        <v>20396.669999999998</v>
      </c>
      <c r="D354" s="45">
        <v>20396.669999999998</v>
      </c>
      <c r="E354" s="45">
        <v>20396.669999999998</v>
      </c>
      <c r="F354" s="18"/>
      <c r="G354" s="22">
        <v>1E-3</v>
      </c>
    </row>
    <row r="355" spans="1:7" x14ac:dyDescent="0.3">
      <c r="A355" s="54">
        <v>44354</v>
      </c>
      <c r="B355" s="45">
        <v>20527.27</v>
      </c>
      <c r="C355" s="45">
        <v>20527.27</v>
      </c>
      <c r="D355" s="45">
        <v>20527.27</v>
      </c>
      <c r="E355" s="45">
        <v>20527.27</v>
      </c>
      <c r="F355" s="18"/>
      <c r="G355" s="22">
        <v>6.4000000000000003E-3</v>
      </c>
    </row>
    <row r="356" spans="1:7" x14ac:dyDescent="0.3">
      <c r="A356" s="54">
        <v>44355</v>
      </c>
      <c r="B356" s="45">
        <v>20553.02</v>
      </c>
      <c r="C356" s="45">
        <v>20553.02</v>
      </c>
      <c r="D356" s="45">
        <v>20553.02</v>
      </c>
      <c r="E356" s="45">
        <v>20553.02</v>
      </c>
      <c r="F356" s="18"/>
      <c r="G356" s="22">
        <v>1.2999999999999999E-3</v>
      </c>
    </row>
    <row r="357" spans="1:7" x14ac:dyDescent="0.3">
      <c r="A357" s="54">
        <v>44356</v>
      </c>
      <c r="B357" s="45">
        <v>20400.55</v>
      </c>
      <c r="C357" s="45">
        <v>20400.55</v>
      </c>
      <c r="D357" s="45">
        <v>20400.55</v>
      </c>
      <c r="E357" s="45">
        <v>20400.55</v>
      </c>
      <c r="F357" s="18"/>
      <c r="G357" s="22">
        <v>-7.4000000000000003E-3</v>
      </c>
    </row>
    <row r="358" spans="1:7" x14ac:dyDescent="0.3">
      <c r="A358" s="54">
        <v>44357</v>
      </c>
      <c r="B358" s="45">
        <v>20596.64</v>
      </c>
      <c r="C358" s="45">
        <v>20596.64</v>
      </c>
      <c r="D358" s="45">
        <v>20596.64</v>
      </c>
      <c r="E358" s="45">
        <v>20596.64</v>
      </c>
      <c r="F358" s="18"/>
      <c r="G358" s="22">
        <v>9.5999999999999992E-3</v>
      </c>
    </row>
    <row r="359" spans="1:7" x14ac:dyDescent="0.3">
      <c r="A359" s="54">
        <v>44358</v>
      </c>
      <c r="B359" s="45">
        <v>20672.330000000002</v>
      </c>
      <c r="C359" s="45">
        <v>20672.330000000002</v>
      </c>
      <c r="D359" s="45">
        <v>20672.330000000002</v>
      </c>
      <c r="E359" s="45">
        <v>20672.330000000002</v>
      </c>
      <c r="F359" s="18"/>
      <c r="G359" s="22">
        <v>3.7000000000000002E-3</v>
      </c>
    </row>
    <row r="360" spans="1:7" x14ac:dyDescent="0.3">
      <c r="A360" s="54">
        <v>44361</v>
      </c>
      <c r="B360" s="45">
        <v>20660.97</v>
      </c>
      <c r="C360" s="45">
        <v>20660.97</v>
      </c>
      <c r="D360" s="45">
        <v>20660.97</v>
      </c>
      <c r="E360" s="45">
        <v>20660.97</v>
      </c>
      <c r="F360" s="18"/>
      <c r="G360" s="22">
        <v>-5.0000000000000001E-4</v>
      </c>
    </row>
    <row r="361" spans="1:7" x14ac:dyDescent="0.3">
      <c r="A361" s="54">
        <v>44362</v>
      </c>
      <c r="B361" s="45">
        <v>20742.75</v>
      </c>
      <c r="C361" s="45">
        <v>20742.75</v>
      </c>
      <c r="D361" s="45">
        <v>20742.75</v>
      </c>
      <c r="E361" s="45">
        <v>20742.75</v>
      </c>
      <c r="F361" s="18"/>
      <c r="G361" s="22">
        <v>4.0000000000000001E-3</v>
      </c>
    </row>
    <row r="362" spans="1:7" x14ac:dyDescent="0.3">
      <c r="A362" s="54">
        <v>44363</v>
      </c>
      <c r="B362" s="45">
        <v>20595.05</v>
      </c>
      <c r="C362" s="45">
        <v>20595.05</v>
      </c>
      <c r="D362" s="45">
        <v>20595.05</v>
      </c>
      <c r="E362" s="45">
        <v>20595.05</v>
      </c>
      <c r="F362" s="18"/>
      <c r="G362" s="22">
        <v>-7.1000000000000004E-3</v>
      </c>
    </row>
    <row r="363" spans="1:7" x14ac:dyDescent="0.3">
      <c r="A363" s="54">
        <v>44364</v>
      </c>
      <c r="B363" s="45">
        <v>20470.400000000001</v>
      </c>
      <c r="C363" s="45">
        <v>20470.400000000001</v>
      </c>
      <c r="D363" s="45">
        <v>20470.400000000001</v>
      </c>
      <c r="E363" s="45">
        <v>20470.400000000001</v>
      </c>
      <c r="F363" s="18"/>
      <c r="G363" s="22">
        <v>-6.1000000000000004E-3</v>
      </c>
    </row>
    <row r="364" spans="1:7" x14ac:dyDescent="0.3">
      <c r="A364" s="54">
        <v>44365</v>
      </c>
      <c r="B364" s="45">
        <v>20411.66</v>
      </c>
      <c r="C364" s="45">
        <v>20411.66</v>
      </c>
      <c r="D364" s="45">
        <v>20411.66</v>
      </c>
      <c r="E364" s="45">
        <v>20411.66</v>
      </c>
      <c r="F364" s="18"/>
      <c r="G364" s="22">
        <v>-2.8999999999999998E-3</v>
      </c>
    </row>
    <row r="365" spans="1:7" x14ac:dyDescent="0.3">
      <c r="A365" s="54">
        <v>44368</v>
      </c>
      <c r="B365" s="45">
        <v>20518.07</v>
      </c>
      <c r="C365" s="45">
        <v>20518.07</v>
      </c>
      <c r="D365" s="45">
        <v>20518.07</v>
      </c>
      <c r="E365" s="45">
        <v>20518.07</v>
      </c>
      <c r="F365" s="18"/>
      <c r="G365" s="22">
        <v>5.1999999999999998E-3</v>
      </c>
    </row>
    <row r="366" spans="1:7" x14ac:dyDescent="0.3">
      <c r="A366" s="54">
        <v>44369</v>
      </c>
      <c r="B366" s="45">
        <v>20571.439999999999</v>
      </c>
      <c r="C366" s="45">
        <v>20571.439999999999</v>
      </c>
      <c r="D366" s="45">
        <v>20571.439999999999</v>
      </c>
      <c r="E366" s="45">
        <v>20571.439999999999</v>
      </c>
      <c r="F366" s="18"/>
      <c r="G366" s="22">
        <v>2.5999999999999999E-3</v>
      </c>
    </row>
    <row r="367" spans="1:7" x14ac:dyDescent="0.3">
      <c r="A367" s="54">
        <v>44370</v>
      </c>
      <c r="B367" s="45">
        <v>20468.099999999999</v>
      </c>
      <c r="C367" s="45">
        <v>20468.099999999999</v>
      </c>
      <c r="D367" s="45">
        <v>20468.099999999999</v>
      </c>
      <c r="E367" s="45">
        <v>20468.099999999999</v>
      </c>
      <c r="F367" s="18"/>
      <c r="G367" s="22">
        <v>-5.0000000000000001E-3</v>
      </c>
    </row>
    <row r="368" spans="1:7" x14ac:dyDescent="0.3">
      <c r="A368" s="54">
        <v>44371</v>
      </c>
      <c r="B368" s="45">
        <v>20537.580000000002</v>
      </c>
      <c r="C368" s="45">
        <v>20537.580000000002</v>
      </c>
      <c r="D368" s="45">
        <v>20537.580000000002</v>
      </c>
      <c r="E368" s="45">
        <v>20537.580000000002</v>
      </c>
      <c r="F368" s="18"/>
      <c r="G368" s="22">
        <v>3.3999999999999998E-3</v>
      </c>
    </row>
    <row r="369" spans="1:7" x14ac:dyDescent="0.3">
      <c r="A369" s="54">
        <v>44372</v>
      </c>
      <c r="B369" s="45">
        <v>20646.099999999999</v>
      </c>
      <c r="C369" s="45">
        <v>20646.099999999999</v>
      </c>
      <c r="D369" s="45">
        <v>20646.099999999999</v>
      </c>
      <c r="E369" s="45">
        <v>20646.099999999999</v>
      </c>
      <c r="F369" s="18"/>
      <c r="G369" s="22">
        <v>5.3E-3</v>
      </c>
    </row>
    <row r="370" spans="1:7" x14ac:dyDescent="0.3">
      <c r="A370" s="54">
        <v>44375</v>
      </c>
      <c r="B370" s="45">
        <v>20636.45</v>
      </c>
      <c r="C370" s="45">
        <v>20636.45</v>
      </c>
      <c r="D370" s="45">
        <v>20636.45</v>
      </c>
      <c r="E370" s="45">
        <v>20636.45</v>
      </c>
      <c r="F370" s="18"/>
      <c r="G370" s="22">
        <v>-5.0000000000000001E-4</v>
      </c>
    </row>
    <row r="371" spans="1:7" x14ac:dyDescent="0.3">
      <c r="A371" s="54">
        <v>44376</v>
      </c>
      <c r="B371" s="45">
        <v>20564.62</v>
      </c>
      <c r="C371" s="45">
        <v>20564.62</v>
      </c>
      <c r="D371" s="45">
        <v>20564.62</v>
      </c>
      <c r="E371" s="45">
        <v>20564.62</v>
      </c>
      <c r="F371" s="18"/>
      <c r="G371" s="22">
        <v>-3.5000000000000001E-3</v>
      </c>
    </row>
    <row r="372" spans="1:7" x14ac:dyDescent="0.3">
      <c r="A372" s="54">
        <v>44377</v>
      </c>
      <c r="B372" s="45">
        <v>20552.2</v>
      </c>
      <c r="C372" s="45">
        <v>20552.2</v>
      </c>
      <c r="D372" s="45">
        <v>20552.2</v>
      </c>
      <c r="E372" s="45">
        <v>20552.2</v>
      </c>
      <c r="F372" s="18"/>
      <c r="G372" s="22">
        <v>-5.9999999999999995E-4</v>
      </c>
    </row>
    <row r="373" spans="1:7" x14ac:dyDescent="0.3">
      <c r="A373" s="54">
        <v>44378</v>
      </c>
      <c r="B373" s="45">
        <v>20524.09</v>
      </c>
      <c r="C373" s="45">
        <v>20524.09</v>
      </c>
      <c r="D373" s="45">
        <v>20524.09</v>
      </c>
      <c r="E373" s="45">
        <v>20524.09</v>
      </c>
      <c r="F373" s="18"/>
      <c r="G373" s="22">
        <v>-1.4E-3</v>
      </c>
    </row>
    <row r="374" spans="1:7" x14ac:dyDescent="0.3">
      <c r="A374" s="54">
        <v>44379</v>
      </c>
      <c r="B374" s="45">
        <v>20585.64</v>
      </c>
      <c r="C374" s="45">
        <v>20585.64</v>
      </c>
      <c r="D374" s="45">
        <v>20585.64</v>
      </c>
      <c r="E374" s="45">
        <v>20585.64</v>
      </c>
      <c r="F374" s="18"/>
      <c r="G374" s="22">
        <v>3.0000000000000001E-3</v>
      </c>
    </row>
    <row r="375" spans="1:7" x14ac:dyDescent="0.3">
      <c r="A375" s="54">
        <v>44382</v>
      </c>
      <c r="B375" s="45">
        <v>20726.43</v>
      </c>
      <c r="C375" s="45">
        <v>20726.43</v>
      </c>
      <c r="D375" s="45">
        <v>20726.43</v>
      </c>
      <c r="E375" s="45">
        <v>20726.43</v>
      </c>
      <c r="F375" s="18"/>
      <c r="G375" s="22">
        <v>6.7999999999999996E-3</v>
      </c>
    </row>
    <row r="376" spans="1:7" x14ac:dyDescent="0.3">
      <c r="A376" s="54">
        <v>44383</v>
      </c>
      <c r="B376" s="45">
        <v>20709.59</v>
      </c>
      <c r="C376" s="45">
        <v>20709.59</v>
      </c>
      <c r="D376" s="45">
        <v>20709.59</v>
      </c>
      <c r="E376" s="45">
        <v>20709.59</v>
      </c>
      <c r="F376" s="18"/>
      <c r="G376" s="22">
        <v>-8.0000000000000004E-4</v>
      </c>
    </row>
    <row r="377" spans="1:7" x14ac:dyDescent="0.3">
      <c r="A377" s="54">
        <v>44384</v>
      </c>
      <c r="B377" s="45">
        <v>20796.330000000002</v>
      </c>
      <c r="C377" s="45">
        <v>20796.330000000002</v>
      </c>
      <c r="D377" s="45">
        <v>20796.330000000002</v>
      </c>
      <c r="E377" s="45">
        <v>20796.330000000002</v>
      </c>
      <c r="F377" s="18"/>
      <c r="G377" s="22">
        <v>4.1999999999999997E-3</v>
      </c>
    </row>
    <row r="378" spans="1:7" x14ac:dyDescent="0.3">
      <c r="A378" s="54">
        <v>44385</v>
      </c>
      <c r="B378" s="45">
        <v>20651.57</v>
      </c>
      <c r="C378" s="45">
        <v>20651.57</v>
      </c>
      <c r="D378" s="45">
        <v>20651.57</v>
      </c>
      <c r="E378" s="45">
        <v>20651.57</v>
      </c>
      <c r="F378" s="18"/>
      <c r="G378" s="22">
        <v>-7.0000000000000001E-3</v>
      </c>
    </row>
    <row r="379" spans="1:7" x14ac:dyDescent="0.3">
      <c r="A379" s="54">
        <v>44386</v>
      </c>
      <c r="B379" s="45">
        <v>20645.03</v>
      </c>
      <c r="C379" s="45">
        <v>20645.03</v>
      </c>
      <c r="D379" s="45">
        <v>20645.03</v>
      </c>
      <c r="E379" s="45">
        <v>20645.03</v>
      </c>
      <c r="F379" s="18"/>
      <c r="G379" s="22">
        <v>-2.9999999999999997E-4</v>
      </c>
    </row>
    <row r="380" spans="1:7" x14ac:dyDescent="0.3">
      <c r="A380" s="54">
        <v>44389</v>
      </c>
      <c r="B380" s="45">
        <v>20677.41</v>
      </c>
      <c r="C380" s="45">
        <v>20677.41</v>
      </c>
      <c r="D380" s="45">
        <v>20677.41</v>
      </c>
      <c r="E380" s="45">
        <v>20677.41</v>
      </c>
      <c r="F380" s="18"/>
      <c r="G380" s="22">
        <v>1.6000000000000001E-3</v>
      </c>
    </row>
    <row r="381" spans="1:7" x14ac:dyDescent="0.3">
      <c r="A381" s="54">
        <v>44390</v>
      </c>
      <c r="B381" s="45">
        <v>20799.349999999999</v>
      </c>
      <c r="C381" s="45">
        <v>20799.349999999999</v>
      </c>
      <c r="D381" s="45">
        <v>20799.349999999999</v>
      </c>
      <c r="E381" s="45">
        <v>20799.349999999999</v>
      </c>
      <c r="F381" s="18"/>
      <c r="G381" s="22">
        <v>5.8999999999999999E-3</v>
      </c>
    </row>
    <row r="382" spans="1:7" x14ac:dyDescent="0.3">
      <c r="A382" s="54">
        <v>44391</v>
      </c>
      <c r="B382" s="45">
        <v>20849.7</v>
      </c>
      <c r="C382" s="45">
        <v>20849.7</v>
      </c>
      <c r="D382" s="45">
        <v>20849.7</v>
      </c>
      <c r="E382" s="45">
        <v>20849.7</v>
      </c>
      <c r="F382" s="18"/>
      <c r="G382" s="22">
        <v>2.3999999999999998E-3</v>
      </c>
    </row>
    <row r="383" spans="1:7" x14ac:dyDescent="0.3">
      <c r="A383" s="54">
        <v>44392</v>
      </c>
      <c r="B383" s="45">
        <v>20944.04</v>
      </c>
      <c r="C383" s="45">
        <v>20944.04</v>
      </c>
      <c r="D383" s="45">
        <v>20944.04</v>
      </c>
      <c r="E383" s="45">
        <v>20944.04</v>
      </c>
      <c r="F383" s="18"/>
      <c r="G383" s="22">
        <v>4.4999999999999997E-3</v>
      </c>
    </row>
    <row r="384" spans="1:7" x14ac:dyDescent="0.3">
      <c r="A384" s="54">
        <v>44393</v>
      </c>
      <c r="B384" s="45">
        <v>20977.88</v>
      </c>
      <c r="C384" s="45">
        <v>20977.88</v>
      </c>
      <c r="D384" s="45">
        <v>20977.88</v>
      </c>
      <c r="E384" s="45">
        <v>20977.88</v>
      </c>
      <c r="F384" s="18"/>
      <c r="G384" s="22">
        <v>1.6000000000000001E-3</v>
      </c>
    </row>
    <row r="385" spans="1:7" x14ac:dyDescent="0.3">
      <c r="A385" s="54">
        <v>44396</v>
      </c>
      <c r="B385" s="45">
        <v>20791.939999999999</v>
      </c>
      <c r="C385" s="45">
        <v>20791.939999999999</v>
      </c>
      <c r="D385" s="45">
        <v>20791.939999999999</v>
      </c>
      <c r="E385" s="45">
        <v>20791.939999999999</v>
      </c>
      <c r="F385" s="18"/>
      <c r="G385" s="22">
        <v>-8.8999999999999999E-3</v>
      </c>
    </row>
    <row r="386" spans="1:7" x14ac:dyDescent="0.3">
      <c r="A386" s="54">
        <v>44397</v>
      </c>
      <c r="B386" s="45">
        <v>20602.8</v>
      </c>
      <c r="C386" s="45">
        <v>20602.8</v>
      </c>
      <c r="D386" s="45">
        <v>20602.8</v>
      </c>
      <c r="E386" s="45">
        <v>20602.8</v>
      </c>
      <c r="F386" s="18"/>
      <c r="G386" s="22">
        <v>-9.1000000000000004E-3</v>
      </c>
    </row>
    <row r="387" spans="1:7" x14ac:dyDescent="0.3">
      <c r="A387" s="54">
        <v>44399</v>
      </c>
      <c r="B387" s="45">
        <v>20871.080000000002</v>
      </c>
      <c r="C387" s="45">
        <v>20871.080000000002</v>
      </c>
      <c r="D387" s="45">
        <v>20871.080000000002</v>
      </c>
      <c r="E387" s="45">
        <v>20871.080000000002</v>
      </c>
      <c r="F387" s="18"/>
      <c r="G387" s="22">
        <v>1.2999999999999999E-2</v>
      </c>
    </row>
    <row r="388" spans="1:7" x14ac:dyDescent="0.3">
      <c r="A388" s="54">
        <v>44400</v>
      </c>
      <c r="B388" s="45">
        <v>20900.63</v>
      </c>
      <c r="C388" s="45">
        <v>20900.63</v>
      </c>
      <c r="D388" s="45">
        <v>20900.63</v>
      </c>
      <c r="E388" s="45">
        <v>20900.63</v>
      </c>
      <c r="F388" s="18"/>
      <c r="G388" s="22">
        <v>1.4E-3</v>
      </c>
    </row>
    <row r="389" spans="1:7" x14ac:dyDescent="0.3">
      <c r="A389" s="54">
        <v>44403</v>
      </c>
      <c r="B389" s="45">
        <v>20882.53</v>
      </c>
      <c r="C389" s="45">
        <v>20882.53</v>
      </c>
      <c r="D389" s="45">
        <v>20882.53</v>
      </c>
      <c r="E389" s="45">
        <v>20882.53</v>
      </c>
      <c r="F389" s="18"/>
      <c r="G389" s="22">
        <v>-8.9999999999999998E-4</v>
      </c>
    </row>
    <row r="390" spans="1:7" x14ac:dyDescent="0.3">
      <c r="A390" s="54">
        <v>44404</v>
      </c>
      <c r="B390" s="45">
        <v>20785.77</v>
      </c>
      <c r="C390" s="45">
        <v>20785.77</v>
      </c>
      <c r="D390" s="45">
        <v>20785.77</v>
      </c>
      <c r="E390" s="45">
        <v>20785.77</v>
      </c>
      <c r="F390" s="18"/>
      <c r="G390" s="22">
        <v>-4.5999999999999999E-3</v>
      </c>
    </row>
    <row r="391" spans="1:7" x14ac:dyDescent="0.3">
      <c r="A391" s="54">
        <v>44405</v>
      </c>
      <c r="B391" s="45">
        <v>20742.919999999998</v>
      </c>
      <c r="C391" s="45">
        <v>20742.919999999998</v>
      </c>
      <c r="D391" s="45">
        <v>20742.919999999998</v>
      </c>
      <c r="E391" s="45">
        <v>20742.919999999998</v>
      </c>
      <c r="F391" s="18"/>
      <c r="G391" s="22">
        <v>-2.0999999999999999E-3</v>
      </c>
    </row>
    <row r="392" spans="1:7" x14ac:dyDescent="0.3">
      <c r="A392" s="54">
        <v>44406</v>
      </c>
      <c r="B392" s="45">
        <v>20845.169999999998</v>
      </c>
      <c r="C392" s="45">
        <v>20845.169999999998</v>
      </c>
      <c r="D392" s="45">
        <v>20845.169999999998</v>
      </c>
      <c r="E392" s="45">
        <v>20845.169999999998</v>
      </c>
      <c r="F392" s="18"/>
      <c r="G392" s="22">
        <v>4.8999999999999998E-3</v>
      </c>
    </row>
    <row r="393" spans="1:7" x14ac:dyDescent="0.3">
      <c r="A393" s="54">
        <v>44407</v>
      </c>
      <c r="B393" s="45">
        <v>20876.599999999999</v>
      </c>
      <c r="C393" s="45">
        <v>20876.599999999999</v>
      </c>
      <c r="D393" s="45">
        <v>20876.599999999999</v>
      </c>
      <c r="E393" s="45">
        <v>20876.599999999999</v>
      </c>
      <c r="F393" s="18"/>
      <c r="G393" s="22">
        <v>1.5E-3</v>
      </c>
    </row>
    <row r="394" spans="1:7" x14ac:dyDescent="0.3">
      <c r="A394" s="54">
        <v>44410</v>
      </c>
      <c r="B394" s="45">
        <v>21060.19</v>
      </c>
      <c r="C394" s="45">
        <v>21060.19</v>
      </c>
      <c r="D394" s="45">
        <v>21060.19</v>
      </c>
      <c r="E394" s="45">
        <v>21060.19</v>
      </c>
      <c r="F394" s="18"/>
      <c r="G394" s="22">
        <v>8.8000000000000005E-3</v>
      </c>
    </row>
    <row r="395" spans="1:7" x14ac:dyDescent="0.3">
      <c r="A395" s="54">
        <v>44411</v>
      </c>
      <c r="B395" s="45">
        <v>21297.96</v>
      </c>
      <c r="C395" s="45">
        <v>21297.96</v>
      </c>
      <c r="D395" s="45">
        <v>21297.96</v>
      </c>
      <c r="E395" s="45">
        <v>21297.96</v>
      </c>
      <c r="F395" s="18"/>
      <c r="G395" s="22">
        <v>1.1299999999999999E-2</v>
      </c>
    </row>
    <row r="396" spans="1:7" x14ac:dyDescent="0.3">
      <c r="A396" s="54">
        <v>44412</v>
      </c>
      <c r="B396" s="45">
        <v>21344.42</v>
      </c>
      <c r="C396" s="45">
        <v>21344.42</v>
      </c>
      <c r="D396" s="45">
        <v>21344.42</v>
      </c>
      <c r="E396" s="45">
        <v>21344.42</v>
      </c>
      <c r="F396" s="18"/>
      <c r="G396" s="22">
        <v>2.2000000000000001E-3</v>
      </c>
    </row>
    <row r="397" spans="1:7" x14ac:dyDescent="0.3">
      <c r="A397" s="54">
        <v>44413</v>
      </c>
      <c r="B397" s="45">
        <v>21365.73</v>
      </c>
      <c r="C397" s="45">
        <v>21365.73</v>
      </c>
      <c r="D397" s="45">
        <v>21365.73</v>
      </c>
      <c r="E397" s="45">
        <v>21365.73</v>
      </c>
      <c r="F397" s="18"/>
      <c r="G397" s="22">
        <v>1E-3</v>
      </c>
    </row>
    <row r="398" spans="1:7" x14ac:dyDescent="0.3">
      <c r="A398" s="54">
        <v>44414</v>
      </c>
      <c r="B398" s="45">
        <v>21324.85</v>
      </c>
      <c r="C398" s="45">
        <v>21324.85</v>
      </c>
      <c r="D398" s="45">
        <v>21324.85</v>
      </c>
      <c r="E398" s="45">
        <v>21324.85</v>
      </c>
      <c r="F398" s="18"/>
      <c r="G398" s="22">
        <v>-1.9E-3</v>
      </c>
    </row>
    <row r="399" spans="1:7" x14ac:dyDescent="0.3">
      <c r="A399" s="54">
        <v>44417</v>
      </c>
      <c r="B399" s="45">
        <v>21296.21</v>
      </c>
      <c r="C399" s="45">
        <v>21296.21</v>
      </c>
      <c r="D399" s="45">
        <v>21296.21</v>
      </c>
      <c r="E399" s="45">
        <v>21296.21</v>
      </c>
      <c r="F399" s="18"/>
      <c r="G399" s="22">
        <v>-1.2999999999999999E-3</v>
      </c>
    </row>
    <row r="400" spans="1:7" x14ac:dyDescent="0.3">
      <c r="A400" s="54">
        <v>44418</v>
      </c>
      <c r="B400" s="45">
        <v>21232.02</v>
      </c>
      <c r="C400" s="45">
        <v>21232.02</v>
      </c>
      <c r="D400" s="45">
        <v>21232.02</v>
      </c>
      <c r="E400" s="45">
        <v>21232.02</v>
      </c>
      <c r="F400" s="18"/>
      <c r="G400" s="22">
        <v>-3.0000000000000001E-3</v>
      </c>
    </row>
    <row r="401" spans="1:7" x14ac:dyDescent="0.3">
      <c r="A401" s="54">
        <v>44419</v>
      </c>
      <c r="B401" s="45">
        <v>21208.2</v>
      </c>
      <c r="C401" s="45">
        <v>21208.2</v>
      </c>
      <c r="D401" s="45">
        <v>21208.2</v>
      </c>
      <c r="E401" s="45">
        <v>21208.2</v>
      </c>
      <c r="F401" s="18"/>
      <c r="G401" s="22">
        <v>-1.1000000000000001E-3</v>
      </c>
    </row>
    <row r="402" spans="1:7" x14ac:dyDescent="0.3">
      <c r="A402" s="54">
        <v>44420</v>
      </c>
      <c r="B402" s="45">
        <v>21355.83</v>
      </c>
      <c r="C402" s="45">
        <v>21355.83</v>
      </c>
      <c r="D402" s="45">
        <v>21355.83</v>
      </c>
      <c r="E402" s="45">
        <v>21355.83</v>
      </c>
      <c r="F402" s="18"/>
      <c r="G402" s="22">
        <v>7.0000000000000001E-3</v>
      </c>
    </row>
    <row r="403" spans="1:7" x14ac:dyDescent="0.3">
      <c r="A403" s="54">
        <v>44421</v>
      </c>
      <c r="B403" s="45">
        <v>21498.959999999999</v>
      </c>
      <c r="C403" s="45">
        <v>21498.959999999999</v>
      </c>
      <c r="D403" s="45">
        <v>21498.959999999999</v>
      </c>
      <c r="E403" s="45">
        <v>21498.959999999999</v>
      </c>
      <c r="F403" s="18"/>
      <c r="G403" s="22">
        <v>6.7000000000000002E-3</v>
      </c>
    </row>
    <row r="404" spans="1:7" x14ac:dyDescent="0.3">
      <c r="A404" s="54">
        <v>44424</v>
      </c>
      <c r="B404" s="45">
        <v>21507.33</v>
      </c>
      <c r="C404" s="45">
        <v>21507.33</v>
      </c>
      <c r="D404" s="45">
        <v>21507.33</v>
      </c>
      <c r="E404" s="45">
        <v>21507.33</v>
      </c>
      <c r="F404" s="18"/>
      <c r="G404" s="22">
        <v>4.0000000000000002E-4</v>
      </c>
    </row>
    <row r="405" spans="1:7" x14ac:dyDescent="0.3">
      <c r="A405" s="54">
        <v>44425</v>
      </c>
      <c r="B405" s="45">
        <v>21573.22</v>
      </c>
      <c r="C405" s="45">
        <v>21573.22</v>
      </c>
      <c r="D405" s="45">
        <v>21573.22</v>
      </c>
      <c r="E405" s="45">
        <v>21573.22</v>
      </c>
      <c r="F405" s="18"/>
      <c r="G405" s="22">
        <v>3.0999999999999999E-3</v>
      </c>
    </row>
    <row r="406" spans="1:7" x14ac:dyDescent="0.3">
      <c r="A406" s="54">
        <v>44426</v>
      </c>
      <c r="B406" s="45">
        <v>21547.14</v>
      </c>
      <c r="C406" s="45">
        <v>21547.14</v>
      </c>
      <c r="D406" s="45">
        <v>21547.14</v>
      </c>
      <c r="E406" s="45">
        <v>21547.14</v>
      </c>
      <c r="F406" s="18"/>
      <c r="G406" s="22">
        <v>-1.1999999999999999E-3</v>
      </c>
    </row>
    <row r="407" spans="1:7" x14ac:dyDescent="0.3">
      <c r="A407" s="54">
        <v>44428</v>
      </c>
      <c r="B407" s="45">
        <v>21315.55</v>
      </c>
      <c r="C407" s="45">
        <v>21315.55</v>
      </c>
      <c r="D407" s="45">
        <v>21315.55</v>
      </c>
      <c r="E407" s="45">
        <v>21315.55</v>
      </c>
      <c r="F407" s="18"/>
      <c r="G407" s="22">
        <v>-1.0699999999999999E-2</v>
      </c>
    </row>
    <row r="408" spans="1:7" x14ac:dyDescent="0.3">
      <c r="A408" s="54">
        <v>44431</v>
      </c>
      <c r="B408" s="45">
        <v>21296</v>
      </c>
      <c r="C408" s="45">
        <v>21296</v>
      </c>
      <c r="D408" s="45">
        <v>21296</v>
      </c>
      <c r="E408" s="45">
        <v>21296</v>
      </c>
      <c r="F408" s="18"/>
      <c r="G408" s="22">
        <v>-8.9999999999999998E-4</v>
      </c>
    </row>
    <row r="409" spans="1:7" x14ac:dyDescent="0.3">
      <c r="A409" s="54">
        <v>44432</v>
      </c>
      <c r="B409" s="45">
        <v>21499</v>
      </c>
      <c r="C409" s="45">
        <v>21499</v>
      </c>
      <c r="D409" s="45">
        <v>21499</v>
      </c>
      <c r="E409" s="45">
        <v>21499</v>
      </c>
      <c r="F409" s="18"/>
      <c r="G409" s="22">
        <v>9.4999999999999998E-3</v>
      </c>
    </row>
    <row r="410" spans="1:7" x14ac:dyDescent="0.3">
      <c r="A410" s="54">
        <v>44433</v>
      </c>
      <c r="B410" s="45">
        <v>21545.48</v>
      </c>
      <c r="C410" s="45">
        <v>21545.48</v>
      </c>
      <c r="D410" s="45">
        <v>21545.48</v>
      </c>
      <c r="E410" s="45">
        <v>21545.48</v>
      </c>
      <c r="F410" s="18"/>
      <c r="G410" s="22">
        <v>2.2000000000000001E-3</v>
      </c>
    </row>
    <row r="411" spans="1:7" x14ac:dyDescent="0.3">
      <c r="A411" s="54">
        <v>44434</v>
      </c>
      <c r="B411" s="45">
        <v>21566.38</v>
      </c>
      <c r="C411" s="45">
        <v>21566.38</v>
      </c>
      <c r="D411" s="45">
        <v>21566.38</v>
      </c>
      <c r="E411" s="45">
        <v>21566.38</v>
      </c>
      <c r="F411" s="18"/>
      <c r="G411" s="22">
        <v>1E-3</v>
      </c>
    </row>
    <row r="412" spans="1:7" x14ac:dyDescent="0.3">
      <c r="A412" s="54">
        <v>44435</v>
      </c>
      <c r="B412" s="45">
        <v>21697.34</v>
      </c>
      <c r="C412" s="45">
        <v>21697.34</v>
      </c>
      <c r="D412" s="45">
        <v>21697.34</v>
      </c>
      <c r="E412" s="45">
        <v>21697.34</v>
      </c>
      <c r="F412" s="18"/>
      <c r="G412" s="22">
        <v>6.1000000000000004E-3</v>
      </c>
    </row>
    <row r="413" spans="1:7" x14ac:dyDescent="0.3">
      <c r="A413" s="54">
        <v>44438</v>
      </c>
      <c r="B413" s="45">
        <v>22011.32</v>
      </c>
      <c r="C413" s="45">
        <v>22011.32</v>
      </c>
      <c r="D413" s="45">
        <v>22011.32</v>
      </c>
      <c r="E413" s="45">
        <v>22011.32</v>
      </c>
      <c r="F413" s="18"/>
      <c r="G413" s="22">
        <v>1.4500000000000001E-2</v>
      </c>
    </row>
    <row r="414" spans="1:7" x14ac:dyDescent="0.3">
      <c r="A414" s="54">
        <v>44439</v>
      </c>
      <c r="B414" s="45">
        <v>22253.61</v>
      </c>
      <c r="C414" s="45">
        <v>22253.61</v>
      </c>
      <c r="D414" s="45">
        <v>22253.61</v>
      </c>
      <c r="E414" s="45">
        <v>22253.61</v>
      </c>
      <c r="F414" s="18"/>
      <c r="G414" s="22">
        <v>1.0999999999999999E-2</v>
      </c>
    </row>
    <row r="415" spans="1:7" x14ac:dyDescent="0.3">
      <c r="A415" s="54">
        <v>44440</v>
      </c>
      <c r="B415" s="45">
        <v>22246.76</v>
      </c>
      <c r="C415" s="45">
        <v>22246.76</v>
      </c>
      <c r="D415" s="45">
        <v>22246.76</v>
      </c>
      <c r="E415" s="45">
        <v>22246.76</v>
      </c>
      <c r="F415" s="18"/>
      <c r="G415" s="22">
        <v>-2.9999999999999997E-4</v>
      </c>
    </row>
    <row r="416" spans="1:7" x14ac:dyDescent="0.3">
      <c r="A416" s="54">
        <v>44441</v>
      </c>
      <c r="B416" s="45">
        <v>22452</v>
      </c>
      <c r="C416" s="45">
        <v>22452</v>
      </c>
      <c r="D416" s="45">
        <v>22452</v>
      </c>
      <c r="E416" s="45">
        <v>22452</v>
      </c>
      <c r="F416" s="18"/>
      <c r="G416" s="22">
        <v>9.1999999999999998E-3</v>
      </c>
    </row>
    <row r="417" spans="1:7" x14ac:dyDescent="0.3">
      <c r="A417" s="54">
        <v>44442</v>
      </c>
      <c r="B417" s="45">
        <v>22566.65</v>
      </c>
      <c r="C417" s="45">
        <v>22566.65</v>
      </c>
      <c r="D417" s="45">
        <v>22566.65</v>
      </c>
      <c r="E417" s="45">
        <v>22566.65</v>
      </c>
      <c r="F417" s="18"/>
      <c r="G417" s="22">
        <v>5.1000000000000004E-3</v>
      </c>
    </row>
    <row r="418" spans="1:7" x14ac:dyDescent="0.3">
      <c r="A418" s="54">
        <v>44445</v>
      </c>
      <c r="B418" s="45">
        <v>22637.89</v>
      </c>
      <c r="C418" s="45">
        <v>22637.89</v>
      </c>
      <c r="D418" s="45">
        <v>22637.89</v>
      </c>
      <c r="E418" s="45">
        <v>22637.89</v>
      </c>
      <c r="F418" s="18"/>
      <c r="G418" s="22">
        <v>3.2000000000000002E-3</v>
      </c>
    </row>
    <row r="419" spans="1:7" x14ac:dyDescent="0.3">
      <c r="A419" s="54">
        <v>44446</v>
      </c>
      <c r="B419" s="45">
        <v>22604.92</v>
      </c>
      <c r="C419" s="45">
        <v>22604.92</v>
      </c>
      <c r="D419" s="45">
        <v>22604.92</v>
      </c>
      <c r="E419" s="45">
        <v>22604.92</v>
      </c>
      <c r="F419" s="18"/>
      <c r="G419" s="22">
        <v>-1.5E-3</v>
      </c>
    </row>
    <row r="420" spans="1:7" x14ac:dyDescent="0.3">
      <c r="A420" s="54">
        <v>44447</v>
      </c>
      <c r="B420" s="45">
        <v>22641.43</v>
      </c>
      <c r="C420" s="45">
        <v>22641.43</v>
      </c>
      <c r="D420" s="45">
        <v>22641.43</v>
      </c>
      <c r="E420" s="45">
        <v>22641.43</v>
      </c>
      <c r="F420" s="18"/>
      <c r="G420" s="22">
        <v>1.6000000000000001E-3</v>
      </c>
    </row>
    <row r="421" spans="1:7" x14ac:dyDescent="0.3">
      <c r="A421" s="54">
        <v>44448</v>
      </c>
      <c r="B421" s="45">
        <v>22691.66</v>
      </c>
      <c r="C421" s="45">
        <v>22691.66</v>
      </c>
      <c r="D421" s="45">
        <v>22691.66</v>
      </c>
      <c r="E421" s="45">
        <v>22691.66</v>
      </c>
      <c r="F421" s="18"/>
      <c r="G421" s="22">
        <v>2.2000000000000001E-3</v>
      </c>
    </row>
    <row r="422" spans="1:7" x14ac:dyDescent="0.3">
      <c r="A422" s="54">
        <v>44452</v>
      </c>
      <c r="B422" s="45">
        <v>22716.99</v>
      </c>
      <c r="C422" s="45">
        <v>22716.99</v>
      </c>
      <c r="D422" s="45">
        <v>22716.99</v>
      </c>
      <c r="E422" s="45">
        <v>22716.99</v>
      </c>
      <c r="F422" s="18"/>
      <c r="G422" s="22">
        <v>1.1000000000000001E-3</v>
      </c>
    </row>
    <row r="423" spans="1:7" x14ac:dyDescent="0.3">
      <c r="A423" s="54">
        <v>44453</v>
      </c>
      <c r="B423" s="45">
        <v>22797.33</v>
      </c>
      <c r="C423" s="45">
        <v>22797.33</v>
      </c>
      <c r="D423" s="45">
        <v>22797.33</v>
      </c>
      <c r="E423" s="45">
        <v>22797.33</v>
      </c>
      <c r="F423" s="18"/>
      <c r="G423" s="22">
        <v>3.5000000000000001E-3</v>
      </c>
    </row>
    <row r="424" spans="1:7" x14ac:dyDescent="0.3">
      <c r="A424" s="54">
        <v>44454</v>
      </c>
      <c r="B424" s="45">
        <v>22975.200000000001</v>
      </c>
      <c r="C424" s="45">
        <v>22975.200000000001</v>
      </c>
      <c r="D424" s="45">
        <v>22975.200000000001</v>
      </c>
      <c r="E424" s="45">
        <v>22975.200000000001</v>
      </c>
      <c r="F424" s="18"/>
      <c r="G424" s="22">
        <v>7.7999999999999996E-3</v>
      </c>
    </row>
    <row r="425" spans="1:7" x14ac:dyDescent="0.3">
      <c r="A425" s="54">
        <v>44455</v>
      </c>
      <c r="B425" s="45">
        <v>23106.080000000002</v>
      </c>
      <c r="C425" s="45">
        <v>23106.080000000002</v>
      </c>
      <c r="D425" s="45">
        <v>23106.080000000002</v>
      </c>
      <c r="E425" s="45">
        <v>23106.080000000002</v>
      </c>
      <c r="F425" s="18"/>
      <c r="G425" s="22">
        <v>5.7000000000000002E-3</v>
      </c>
    </row>
    <row r="426" spans="1:7" x14ac:dyDescent="0.3">
      <c r="A426" s="54">
        <v>44456</v>
      </c>
      <c r="B426" s="45">
        <v>22987.759999999998</v>
      </c>
      <c r="C426" s="45">
        <v>22987.759999999998</v>
      </c>
      <c r="D426" s="45">
        <v>22987.759999999998</v>
      </c>
      <c r="E426" s="45">
        <v>22987.759999999998</v>
      </c>
      <c r="F426" s="18"/>
      <c r="G426" s="22">
        <v>-5.1000000000000004E-3</v>
      </c>
    </row>
    <row r="427" spans="1:7" x14ac:dyDescent="0.3">
      <c r="A427" s="54">
        <v>44459</v>
      </c>
      <c r="B427" s="45">
        <v>22681.84</v>
      </c>
      <c r="C427" s="45">
        <v>22681.84</v>
      </c>
      <c r="D427" s="45">
        <v>22681.84</v>
      </c>
      <c r="E427" s="45">
        <v>22681.84</v>
      </c>
      <c r="F427" s="18"/>
      <c r="G427" s="22">
        <v>-1.3299999999999999E-2</v>
      </c>
    </row>
    <row r="428" spans="1:7" x14ac:dyDescent="0.3">
      <c r="A428" s="54">
        <v>44460</v>
      </c>
      <c r="B428" s="45">
        <v>22865.1</v>
      </c>
      <c r="C428" s="45">
        <v>22865.1</v>
      </c>
      <c r="D428" s="45">
        <v>22865.1</v>
      </c>
      <c r="E428" s="45">
        <v>22865.1</v>
      </c>
      <c r="F428" s="18"/>
      <c r="G428" s="22">
        <v>8.0999999999999996E-3</v>
      </c>
    </row>
    <row r="429" spans="1:7" x14ac:dyDescent="0.3">
      <c r="A429" s="54">
        <v>44461</v>
      </c>
      <c r="B429" s="45">
        <v>22932.93</v>
      </c>
      <c r="C429" s="45">
        <v>22932.93</v>
      </c>
      <c r="D429" s="45">
        <v>22932.93</v>
      </c>
      <c r="E429" s="45">
        <v>22932.93</v>
      </c>
      <c r="F429" s="18"/>
      <c r="G429" s="22">
        <v>3.0000000000000001E-3</v>
      </c>
    </row>
    <row r="430" spans="1:7" x14ac:dyDescent="0.3">
      <c r="A430" s="54">
        <v>44462</v>
      </c>
      <c r="B430" s="45">
        <v>23261.84</v>
      </c>
      <c r="C430" s="45">
        <v>23261.84</v>
      </c>
      <c r="D430" s="45">
        <v>23261.84</v>
      </c>
      <c r="E430" s="45">
        <v>23261.84</v>
      </c>
      <c r="F430" s="18"/>
      <c r="G430" s="22">
        <v>1.43E-2</v>
      </c>
    </row>
    <row r="431" spans="1:7" x14ac:dyDescent="0.3">
      <c r="A431" s="54">
        <v>44463</v>
      </c>
      <c r="B431" s="45">
        <v>23241.27</v>
      </c>
      <c r="C431" s="45">
        <v>23241.27</v>
      </c>
      <c r="D431" s="45">
        <v>23241.27</v>
      </c>
      <c r="E431" s="45">
        <v>23241.27</v>
      </c>
      <c r="F431" s="18"/>
      <c r="G431" s="22">
        <v>-8.9999999999999998E-4</v>
      </c>
    </row>
    <row r="432" spans="1:7" x14ac:dyDescent="0.3">
      <c r="A432" s="54">
        <v>44466</v>
      </c>
      <c r="B432" s="45">
        <v>23236.799999999999</v>
      </c>
      <c r="C432" s="45">
        <v>23236.799999999999</v>
      </c>
      <c r="D432" s="45">
        <v>23236.799999999999</v>
      </c>
      <c r="E432" s="45">
        <v>23236.799999999999</v>
      </c>
      <c r="F432" s="18"/>
      <c r="G432" s="22">
        <v>-2.0000000000000001E-4</v>
      </c>
    </row>
    <row r="433" spans="1:7" x14ac:dyDescent="0.3">
      <c r="A433" s="54">
        <v>44467</v>
      </c>
      <c r="B433" s="45">
        <v>23094.75</v>
      </c>
      <c r="C433" s="45">
        <v>23094.75</v>
      </c>
      <c r="D433" s="45">
        <v>23094.75</v>
      </c>
      <c r="E433" s="45">
        <v>23094.75</v>
      </c>
      <c r="F433" s="18"/>
      <c r="G433" s="22">
        <v>-6.1000000000000004E-3</v>
      </c>
    </row>
    <row r="434" spans="1:7" x14ac:dyDescent="0.3">
      <c r="A434" s="54">
        <v>44468</v>
      </c>
      <c r="B434" s="45">
        <v>23081.51</v>
      </c>
      <c r="C434" s="45">
        <v>23081.51</v>
      </c>
      <c r="D434" s="45">
        <v>23081.51</v>
      </c>
      <c r="E434" s="45">
        <v>23081.51</v>
      </c>
      <c r="F434" s="18"/>
      <c r="G434" s="22">
        <v>-5.9999999999999995E-4</v>
      </c>
    </row>
    <row r="435" spans="1:7" x14ac:dyDescent="0.3">
      <c r="A435" s="54">
        <v>44469</v>
      </c>
      <c r="B435" s="45">
        <v>23029.08</v>
      </c>
      <c r="C435" s="45">
        <v>23029.08</v>
      </c>
      <c r="D435" s="45">
        <v>23029.08</v>
      </c>
      <c r="E435" s="45">
        <v>23029.08</v>
      </c>
      <c r="F435" s="18"/>
      <c r="G435" s="22">
        <v>-2.3E-3</v>
      </c>
    </row>
    <row r="436" spans="1:7" x14ac:dyDescent="0.3">
      <c r="A436" s="54">
        <v>44470</v>
      </c>
      <c r="B436" s="45">
        <v>22969.86</v>
      </c>
      <c r="C436" s="45">
        <v>22969.86</v>
      </c>
      <c r="D436" s="45">
        <v>22969.86</v>
      </c>
      <c r="E436" s="45">
        <v>22969.86</v>
      </c>
      <c r="F436" s="18"/>
      <c r="G436" s="22">
        <v>-2.5999999999999999E-3</v>
      </c>
    </row>
    <row r="437" spans="1:7" x14ac:dyDescent="0.3">
      <c r="A437" s="54">
        <v>44473</v>
      </c>
      <c r="B437" s="45">
        <v>23225.63</v>
      </c>
      <c r="C437" s="45">
        <v>23225.63</v>
      </c>
      <c r="D437" s="45">
        <v>23225.63</v>
      </c>
      <c r="E437" s="45">
        <v>23225.63</v>
      </c>
      <c r="F437" s="18"/>
      <c r="G437" s="22">
        <v>1.11E-2</v>
      </c>
    </row>
    <row r="438" spans="1:7" x14ac:dyDescent="0.3">
      <c r="A438" s="54">
        <v>44474</v>
      </c>
      <c r="B438" s="45">
        <v>23377.08</v>
      </c>
      <c r="C438" s="45">
        <v>23377.08</v>
      </c>
      <c r="D438" s="45">
        <v>23377.08</v>
      </c>
      <c r="E438" s="45">
        <v>23377.08</v>
      </c>
      <c r="F438" s="18"/>
      <c r="G438" s="22">
        <v>6.4999999999999997E-3</v>
      </c>
    </row>
    <row r="439" spans="1:7" x14ac:dyDescent="0.3">
      <c r="A439" s="54">
        <v>44475</v>
      </c>
      <c r="B439" s="45">
        <v>23154.34</v>
      </c>
      <c r="C439" s="45">
        <v>23154.34</v>
      </c>
      <c r="D439" s="45">
        <v>23154.34</v>
      </c>
      <c r="E439" s="45">
        <v>23154.34</v>
      </c>
      <c r="F439" s="18"/>
      <c r="G439" s="22">
        <v>-9.4999999999999998E-3</v>
      </c>
    </row>
    <row r="440" spans="1:7" x14ac:dyDescent="0.3">
      <c r="A440" s="54">
        <v>44476</v>
      </c>
      <c r="B440" s="45">
        <v>23392.45</v>
      </c>
      <c r="C440" s="45">
        <v>23392.45</v>
      </c>
      <c r="D440" s="45">
        <v>23392.45</v>
      </c>
      <c r="E440" s="45">
        <v>23392.45</v>
      </c>
      <c r="F440" s="18"/>
      <c r="G440" s="22">
        <v>1.03E-2</v>
      </c>
    </row>
    <row r="441" spans="1:7" x14ac:dyDescent="0.3">
      <c r="A441" s="54">
        <v>44477</v>
      </c>
      <c r="B441" s="45">
        <v>23507.21</v>
      </c>
      <c r="C441" s="45">
        <v>23507.21</v>
      </c>
      <c r="D441" s="45">
        <v>23507.21</v>
      </c>
      <c r="E441" s="45">
        <v>23507.21</v>
      </c>
      <c r="F441" s="18"/>
      <c r="G441" s="22">
        <v>4.8999999999999998E-3</v>
      </c>
    </row>
    <row r="442" spans="1:7" x14ac:dyDescent="0.3">
      <c r="A442" s="54">
        <v>44480</v>
      </c>
      <c r="B442" s="45">
        <v>23603.3</v>
      </c>
      <c r="C442" s="45">
        <v>23603.3</v>
      </c>
      <c r="D442" s="45">
        <v>23603.3</v>
      </c>
      <c r="E442" s="45">
        <v>23603.3</v>
      </c>
      <c r="F442" s="18"/>
      <c r="G442" s="22">
        <v>4.1000000000000003E-3</v>
      </c>
    </row>
    <row r="443" spans="1:7" x14ac:dyDescent="0.3">
      <c r="A443" s="54">
        <v>44481</v>
      </c>
      <c r="B443" s="45">
        <v>23685.8</v>
      </c>
      <c r="C443" s="45">
        <v>23685.8</v>
      </c>
      <c r="D443" s="45">
        <v>23685.8</v>
      </c>
      <c r="E443" s="45">
        <v>23685.8</v>
      </c>
      <c r="F443" s="18"/>
      <c r="G443" s="22">
        <v>3.5000000000000001E-3</v>
      </c>
    </row>
    <row r="444" spans="1:7" x14ac:dyDescent="0.3">
      <c r="A444" s="54">
        <v>44482</v>
      </c>
      <c r="B444" s="45">
        <v>23914.47</v>
      </c>
      <c r="C444" s="45">
        <v>23914.47</v>
      </c>
      <c r="D444" s="45">
        <v>23914.47</v>
      </c>
      <c r="E444" s="45">
        <v>23914.47</v>
      </c>
      <c r="F444" s="18"/>
      <c r="G444" s="22">
        <v>9.7000000000000003E-3</v>
      </c>
    </row>
    <row r="445" spans="1:7" x14ac:dyDescent="0.3">
      <c r="A445" s="54">
        <v>44483</v>
      </c>
      <c r="B445" s="45">
        <v>24126.87</v>
      </c>
      <c r="C445" s="45">
        <v>24126.87</v>
      </c>
      <c r="D445" s="45">
        <v>24126.87</v>
      </c>
      <c r="E445" s="45">
        <v>24126.87</v>
      </c>
      <c r="F445" s="18"/>
      <c r="G445" s="22">
        <v>8.8999999999999999E-3</v>
      </c>
    </row>
    <row r="446" spans="1:7" x14ac:dyDescent="0.3">
      <c r="A446" s="54">
        <v>44487</v>
      </c>
      <c r="B446" s="45">
        <v>24305.72</v>
      </c>
      <c r="C446" s="45">
        <v>24305.72</v>
      </c>
      <c r="D446" s="45">
        <v>24305.72</v>
      </c>
      <c r="E446" s="45">
        <v>24305.72</v>
      </c>
      <c r="F446" s="18"/>
      <c r="G446" s="22">
        <v>7.4000000000000003E-3</v>
      </c>
    </row>
    <row r="447" spans="1:7" x14ac:dyDescent="0.3">
      <c r="A447" s="54">
        <v>44488</v>
      </c>
      <c r="B447" s="45">
        <v>24109.39</v>
      </c>
      <c r="C447" s="45">
        <v>24109.39</v>
      </c>
      <c r="D447" s="45">
        <v>24109.39</v>
      </c>
      <c r="E447" s="45">
        <v>24109.39</v>
      </c>
      <c r="F447" s="18"/>
      <c r="G447" s="22">
        <v>-8.0999999999999996E-3</v>
      </c>
    </row>
    <row r="448" spans="1:7" x14ac:dyDescent="0.3">
      <c r="A448" s="54">
        <v>44489</v>
      </c>
      <c r="B448" s="45">
        <v>23820</v>
      </c>
      <c r="C448" s="45">
        <v>23820</v>
      </c>
      <c r="D448" s="45">
        <v>23820</v>
      </c>
      <c r="E448" s="45">
        <v>23820</v>
      </c>
      <c r="F448" s="18"/>
      <c r="G448" s="22">
        <v>-1.2E-2</v>
      </c>
    </row>
    <row r="449" spans="1:7" x14ac:dyDescent="0.3">
      <c r="A449" s="54">
        <v>44490</v>
      </c>
      <c r="B449" s="45">
        <v>23698.38</v>
      </c>
      <c r="C449" s="45">
        <v>23698.38</v>
      </c>
      <c r="D449" s="45">
        <v>23698.38</v>
      </c>
      <c r="E449" s="45">
        <v>23698.38</v>
      </c>
      <c r="F449" s="18"/>
      <c r="G449" s="22">
        <v>-5.1000000000000004E-3</v>
      </c>
    </row>
    <row r="450" spans="1:7" x14ac:dyDescent="0.3">
      <c r="A450" s="54">
        <v>44491</v>
      </c>
      <c r="B450" s="45">
        <v>23563.8</v>
      </c>
      <c r="C450" s="45">
        <v>23563.8</v>
      </c>
      <c r="D450" s="45">
        <v>23563.8</v>
      </c>
      <c r="E450" s="45">
        <v>23563.8</v>
      </c>
      <c r="F450" s="18"/>
      <c r="G450" s="22">
        <v>-5.7000000000000002E-3</v>
      </c>
    </row>
    <row r="451" spans="1:7" x14ac:dyDescent="0.3">
      <c r="A451" s="54">
        <v>44494</v>
      </c>
      <c r="B451" s="45">
        <v>23463.94</v>
      </c>
      <c r="C451" s="45">
        <v>23463.94</v>
      </c>
      <c r="D451" s="45">
        <v>23463.94</v>
      </c>
      <c r="E451" s="45">
        <v>23463.94</v>
      </c>
      <c r="F451" s="18"/>
      <c r="G451" s="22">
        <v>-4.1999999999999997E-3</v>
      </c>
    </row>
    <row r="452" spans="1:7" x14ac:dyDescent="0.3">
      <c r="A452" s="54">
        <v>44495</v>
      </c>
      <c r="B452" s="45">
        <v>23731.73</v>
      </c>
      <c r="C452" s="45">
        <v>23731.73</v>
      </c>
      <c r="D452" s="45">
        <v>23731.73</v>
      </c>
      <c r="E452" s="45">
        <v>23731.73</v>
      </c>
      <c r="F452" s="18"/>
      <c r="G452" s="22">
        <v>1.14E-2</v>
      </c>
    </row>
    <row r="453" spans="1:7" x14ac:dyDescent="0.3">
      <c r="A453" s="54">
        <v>44496</v>
      </c>
      <c r="B453" s="45">
        <v>23708.68</v>
      </c>
      <c r="C453" s="45">
        <v>23708.68</v>
      </c>
      <c r="D453" s="45">
        <v>23708.68</v>
      </c>
      <c r="E453" s="45">
        <v>23708.68</v>
      </c>
      <c r="F453" s="18"/>
      <c r="G453" s="22">
        <v>-1E-3</v>
      </c>
    </row>
    <row r="454" spans="1:7" x14ac:dyDescent="0.3">
      <c r="A454" s="54">
        <v>44497</v>
      </c>
      <c r="B454" s="45">
        <v>23259.72</v>
      </c>
      <c r="C454" s="45">
        <v>23259.72</v>
      </c>
      <c r="D454" s="45">
        <v>23259.72</v>
      </c>
      <c r="E454" s="45">
        <v>23259.72</v>
      </c>
      <c r="F454" s="18"/>
      <c r="G454" s="22">
        <v>-1.89E-2</v>
      </c>
    </row>
    <row r="455" spans="1:7" x14ac:dyDescent="0.3">
      <c r="A455" s="54">
        <v>44498</v>
      </c>
      <c r="B455" s="45">
        <v>23100.97</v>
      </c>
      <c r="C455" s="45">
        <v>23100.97</v>
      </c>
      <c r="D455" s="45">
        <v>23100.97</v>
      </c>
      <c r="E455" s="45">
        <v>23100.97</v>
      </c>
      <c r="F455" s="18"/>
      <c r="G455" s="22">
        <v>-6.7999999999999996E-3</v>
      </c>
    </row>
    <row r="456" spans="1:7" x14ac:dyDescent="0.3">
      <c r="A456" s="54">
        <v>44501</v>
      </c>
      <c r="B456" s="45">
        <v>23431.96</v>
      </c>
      <c r="C456" s="45">
        <v>23431.96</v>
      </c>
      <c r="D456" s="45">
        <v>23431.96</v>
      </c>
      <c r="E456" s="45">
        <v>23431.96</v>
      </c>
      <c r="F456" s="18"/>
      <c r="G456" s="22">
        <v>1.43E-2</v>
      </c>
    </row>
    <row r="457" spans="1:7" x14ac:dyDescent="0.3">
      <c r="A457" s="54">
        <v>44502</v>
      </c>
      <c r="B457" s="45">
        <v>23452.89</v>
      </c>
      <c r="C457" s="45">
        <v>23452.89</v>
      </c>
      <c r="D457" s="45">
        <v>23452.89</v>
      </c>
      <c r="E457" s="45">
        <v>23452.89</v>
      </c>
      <c r="F457" s="18"/>
      <c r="G457" s="22">
        <v>8.9999999999999998E-4</v>
      </c>
    </row>
    <row r="458" spans="1:7" x14ac:dyDescent="0.3">
      <c r="A458" s="54">
        <v>44503</v>
      </c>
      <c r="B458" s="45">
        <v>23404.31</v>
      </c>
      <c r="C458" s="45">
        <v>23404.31</v>
      </c>
      <c r="D458" s="45">
        <v>23404.31</v>
      </c>
      <c r="E458" s="45">
        <v>23404.31</v>
      </c>
      <c r="F458" s="18"/>
      <c r="G458" s="22">
        <v>-2.0999999999999999E-3</v>
      </c>
    </row>
    <row r="459" spans="1:7" x14ac:dyDescent="0.3">
      <c r="A459" s="54">
        <v>44508</v>
      </c>
      <c r="B459" s="45">
        <v>23768.47</v>
      </c>
      <c r="C459" s="45">
        <v>23768.47</v>
      </c>
      <c r="D459" s="45">
        <v>23768.47</v>
      </c>
      <c r="E459" s="45">
        <v>23768.47</v>
      </c>
      <c r="F459" s="18"/>
      <c r="G459" s="22">
        <v>1.5599999999999999E-2</v>
      </c>
    </row>
    <row r="460" spans="1:7" x14ac:dyDescent="0.3">
      <c r="A460" s="54">
        <v>44509</v>
      </c>
      <c r="B460" s="45">
        <v>23803.67</v>
      </c>
      <c r="C460" s="45">
        <v>23803.67</v>
      </c>
      <c r="D460" s="45">
        <v>23803.67</v>
      </c>
      <c r="E460" s="45">
        <v>23803.67</v>
      </c>
      <c r="F460" s="18"/>
      <c r="G460" s="22">
        <v>1.5E-3</v>
      </c>
    </row>
    <row r="461" spans="1:7" x14ac:dyDescent="0.3">
      <c r="A461" s="54">
        <v>44510</v>
      </c>
      <c r="B461" s="45">
        <v>23772.02</v>
      </c>
      <c r="C461" s="45">
        <v>23772.02</v>
      </c>
      <c r="D461" s="45">
        <v>23772.02</v>
      </c>
      <c r="E461" s="45">
        <v>23772.02</v>
      </c>
      <c r="F461" s="18"/>
      <c r="G461" s="22">
        <v>-1.2999999999999999E-3</v>
      </c>
    </row>
    <row r="462" spans="1:7" x14ac:dyDescent="0.3">
      <c r="A462" s="54">
        <v>44511</v>
      </c>
      <c r="B462" s="45">
        <v>23608.35</v>
      </c>
      <c r="C462" s="45">
        <v>23608.35</v>
      </c>
      <c r="D462" s="45">
        <v>23608.35</v>
      </c>
      <c r="E462" s="45">
        <v>23608.35</v>
      </c>
      <c r="F462" s="18"/>
      <c r="G462" s="22">
        <v>-6.8999999999999999E-3</v>
      </c>
    </row>
    <row r="463" spans="1:7" x14ac:dyDescent="0.3">
      <c r="A463" s="54">
        <v>44512</v>
      </c>
      <c r="B463" s="45">
        <v>23865.63</v>
      </c>
      <c r="C463" s="45">
        <v>23865.63</v>
      </c>
      <c r="D463" s="45">
        <v>23865.63</v>
      </c>
      <c r="E463" s="45">
        <v>23865.63</v>
      </c>
      <c r="F463" s="18"/>
      <c r="G463" s="22">
        <v>1.09E-2</v>
      </c>
    </row>
    <row r="464" spans="1:7" x14ac:dyDescent="0.3">
      <c r="A464" s="54">
        <v>44515</v>
      </c>
      <c r="B464" s="45">
        <v>23886.54</v>
      </c>
      <c r="C464" s="45">
        <v>23886.54</v>
      </c>
      <c r="D464" s="45">
        <v>23886.54</v>
      </c>
      <c r="E464" s="45">
        <v>23886.54</v>
      </c>
      <c r="F464" s="18"/>
      <c r="G464" s="22">
        <v>8.9999999999999998E-4</v>
      </c>
    </row>
    <row r="465" spans="1:7" x14ac:dyDescent="0.3">
      <c r="A465" s="54">
        <v>44516</v>
      </c>
      <c r="B465" s="45">
        <v>23783.599999999999</v>
      </c>
      <c r="C465" s="45">
        <v>23783.599999999999</v>
      </c>
      <c r="D465" s="45">
        <v>23783.599999999999</v>
      </c>
      <c r="E465" s="45">
        <v>23783.599999999999</v>
      </c>
      <c r="F465" s="18"/>
      <c r="G465" s="22">
        <v>-4.3E-3</v>
      </c>
    </row>
    <row r="466" spans="1:7" x14ac:dyDescent="0.3">
      <c r="A466" s="54">
        <v>44517</v>
      </c>
      <c r="B466" s="45">
        <v>23677.24</v>
      </c>
      <c r="C466" s="45">
        <v>23677.24</v>
      </c>
      <c r="D466" s="45">
        <v>23677.24</v>
      </c>
      <c r="E466" s="45">
        <v>23677.24</v>
      </c>
      <c r="F466" s="18"/>
      <c r="G466" s="22">
        <v>-4.4999999999999997E-3</v>
      </c>
    </row>
    <row r="467" spans="1:7" x14ac:dyDescent="0.3">
      <c r="A467" s="54">
        <v>44518</v>
      </c>
      <c r="B467" s="45">
        <v>23443.759999999998</v>
      </c>
      <c r="C467" s="45">
        <v>23443.759999999998</v>
      </c>
      <c r="D467" s="45">
        <v>23443.759999999998</v>
      </c>
      <c r="E467" s="45">
        <v>23443.759999999998</v>
      </c>
      <c r="F467" s="18"/>
      <c r="G467" s="22">
        <v>-9.9000000000000008E-3</v>
      </c>
    </row>
    <row r="468" spans="1:7" x14ac:dyDescent="0.3">
      <c r="A468" s="54">
        <v>44522</v>
      </c>
      <c r="B468" s="45">
        <v>22948.81</v>
      </c>
      <c r="C468" s="45">
        <v>22948.81</v>
      </c>
      <c r="D468" s="45">
        <v>22948.81</v>
      </c>
      <c r="E468" s="45">
        <v>22948.81</v>
      </c>
      <c r="F468" s="18"/>
      <c r="G468" s="22">
        <v>-2.1100000000000001E-2</v>
      </c>
    </row>
    <row r="469" spans="1:7" x14ac:dyDescent="0.3">
      <c r="A469" s="54">
        <v>44523</v>
      </c>
      <c r="B469" s="45">
        <v>23150.31</v>
      </c>
      <c r="C469" s="45">
        <v>23150.31</v>
      </c>
      <c r="D469" s="45">
        <v>23150.31</v>
      </c>
      <c r="E469" s="45">
        <v>23150.31</v>
      </c>
      <c r="F469" s="18"/>
      <c r="G469" s="22">
        <v>8.8000000000000005E-3</v>
      </c>
    </row>
    <row r="470" spans="1:7" x14ac:dyDescent="0.3">
      <c r="A470" s="54">
        <v>44524</v>
      </c>
      <c r="B470" s="45">
        <v>23057.77</v>
      </c>
      <c r="C470" s="45">
        <v>23057.77</v>
      </c>
      <c r="D470" s="45">
        <v>23057.77</v>
      </c>
      <c r="E470" s="45">
        <v>23057.77</v>
      </c>
      <c r="F470" s="18"/>
      <c r="G470" s="22">
        <v>-4.0000000000000001E-3</v>
      </c>
    </row>
    <row r="471" spans="1:7" x14ac:dyDescent="0.3">
      <c r="A471" s="54">
        <v>44525</v>
      </c>
      <c r="B471" s="45">
        <v>23217.37</v>
      </c>
      <c r="C471" s="45">
        <v>23217.37</v>
      </c>
      <c r="D471" s="45">
        <v>23217.37</v>
      </c>
      <c r="E471" s="45">
        <v>23217.37</v>
      </c>
      <c r="F471" s="18"/>
      <c r="G471" s="22">
        <v>6.8999999999999999E-3</v>
      </c>
    </row>
    <row r="472" spans="1:7" x14ac:dyDescent="0.3">
      <c r="A472" s="54">
        <v>44526</v>
      </c>
      <c r="B472" s="45">
        <v>22537.919999999998</v>
      </c>
      <c r="C472" s="45">
        <v>22537.919999999998</v>
      </c>
      <c r="D472" s="45">
        <v>22537.919999999998</v>
      </c>
      <c r="E472" s="45">
        <v>22537.919999999998</v>
      </c>
      <c r="F472" s="18"/>
      <c r="G472" s="22">
        <v>-2.93E-2</v>
      </c>
    </row>
    <row r="473" spans="1:7" x14ac:dyDescent="0.3">
      <c r="A473" s="54">
        <v>44529</v>
      </c>
      <c r="B473" s="45">
        <v>22460.1</v>
      </c>
      <c r="C473" s="45">
        <v>22460.1</v>
      </c>
      <c r="D473" s="45">
        <v>22460.1</v>
      </c>
      <c r="E473" s="45">
        <v>22460.1</v>
      </c>
      <c r="F473" s="18"/>
      <c r="G473" s="22">
        <v>-3.5000000000000001E-3</v>
      </c>
    </row>
    <row r="474" spans="1:7" x14ac:dyDescent="0.3">
      <c r="A474" s="54">
        <v>44530</v>
      </c>
      <c r="B474" s="45">
        <v>22447.74</v>
      </c>
      <c r="C474" s="45">
        <v>22447.74</v>
      </c>
      <c r="D474" s="45">
        <v>22447.74</v>
      </c>
      <c r="E474" s="45">
        <v>22447.74</v>
      </c>
      <c r="F474" s="18"/>
      <c r="G474" s="22">
        <v>-5.9999999999999995E-4</v>
      </c>
    </row>
    <row r="475" spans="1:7" x14ac:dyDescent="0.3">
      <c r="A475" s="54">
        <v>44531</v>
      </c>
      <c r="B475" s="45">
        <v>22656.71</v>
      </c>
      <c r="C475" s="45">
        <v>22656.71</v>
      </c>
      <c r="D475" s="45">
        <v>22656.71</v>
      </c>
      <c r="E475" s="45">
        <v>22656.71</v>
      </c>
      <c r="F475" s="18"/>
      <c r="G475" s="22">
        <v>9.2999999999999992E-3</v>
      </c>
    </row>
    <row r="476" spans="1:7" x14ac:dyDescent="0.3">
      <c r="A476" s="54">
        <v>44532</v>
      </c>
      <c r="B476" s="45">
        <v>22946.71</v>
      </c>
      <c r="C476" s="45">
        <v>22946.71</v>
      </c>
      <c r="D476" s="45">
        <v>22946.71</v>
      </c>
      <c r="E476" s="45">
        <v>22946.71</v>
      </c>
      <c r="F476" s="18"/>
      <c r="G476" s="22">
        <v>1.2800000000000001E-2</v>
      </c>
    </row>
    <row r="477" spans="1:7" x14ac:dyDescent="0.3">
      <c r="A477" s="54">
        <v>44533</v>
      </c>
      <c r="B477" s="45">
        <v>22766.46</v>
      </c>
      <c r="C477" s="45">
        <v>22766.46</v>
      </c>
      <c r="D477" s="45">
        <v>22766.46</v>
      </c>
      <c r="E477" s="45">
        <v>22766.46</v>
      </c>
      <c r="F477" s="18"/>
      <c r="G477" s="22">
        <v>-7.9000000000000008E-3</v>
      </c>
    </row>
    <row r="478" spans="1:7" x14ac:dyDescent="0.3">
      <c r="A478" s="54">
        <v>44536</v>
      </c>
      <c r="B478" s="45">
        <v>22401.81</v>
      </c>
      <c r="C478" s="45">
        <v>22401.81</v>
      </c>
      <c r="D478" s="45">
        <v>22401.81</v>
      </c>
      <c r="E478" s="45">
        <v>22401.81</v>
      </c>
      <c r="F478" s="18"/>
      <c r="G478" s="22">
        <v>-1.6E-2</v>
      </c>
    </row>
    <row r="479" spans="1:7" x14ac:dyDescent="0.3">
      <c r="A479" s="54">
        <v>44538</v>
      </c>
      <c r="B479" s="45">
        <v>23098.91</v>
      </c>
      <c r="C479" s="45">
        <v>23098.91</v>
      </c>
      <c r="D479" s="45">
        <v>23098.91</v>
      </c>
      <c r="E479" s="45">
        <v>23098.91</v>
      </c>
      <c r="F479" s="18"/>
      <c r="G479" s="22">
        <v>3.1099999999999999E-2</v>
      </c>
    </row>
    <row r="480" spans="1:7" x14ac:dyDescent="0.3">
      <c r="A480" s="54">
        <v>44539</v>
      </c>
      <c r="B480" s="45">
        <v>23180.65</v>
      </c>
      <c r="C480" s="45">
        <v>23180.65</v>
      </c>
      <c r="D480" s="45">
        <v>23180.65</v>
      </c>
      <c r="E480" s="45">
        <v>23180.65</v>
      </c>
      <c r="F480" s="18"/>
      <c r="G480" s="22">
        <v>3.5000000000000001E-3</v>
      </c>
    </row>
    <row r="481" spans="1:7" x14ac:dyDescent="0.3">
      <c r="A481" s="54">
        <v>44540</v>
      </c>
      <c r="B481" s="45">
        <v>23224.15</v>
      </c>
      <c r="C481" s="45">
        <v>23224.15</v>
      </c>
      <c r="D481" s="45">
        <v>23224.15</v>
      </c>
      <c r="E481" s="45">
        <v>23224.15</v>
      </c>
      <c r="F481" s="18"/>
      <c r="G481" s="22">
        <v>1.9E-3</v>
      </c>
    </row>
    <row r="482" spans="1:7" x14ac:dyDescent="0.3">
      <c r="A482" s="54">
        <v>44543</v>
      </c>
      <c r="B482" s="45">
        <v>23085.13</v>
      </c>
      <c r="C482" s="45">
        <v>23085.13</v>
      </c>
      <c r="D482" s="45">
        <v>23085.13</v>
      </c>
      <c r="E482" s="45">
        <v>23085.13</v>
      </c>
      <c r="F482" s="18"/>
      <c r="G482" s="22">
        <v>-6.0000000000000001E-3</v>
      </c>
    </row>
    <row r="483" spans="1:7" x14ac:dyDescent="0.3">
      <c r="A483" s="54">
        <v>44544</v>
      </c>
      <c r="B483" s="45">
        <v>23052.95</v>
      </c>
      <c r="C483" s="45">
        <v>23052.95</v>
      </c>
      <c r="D483" s="45">
        <v>23052.95</v>
      </c>
      <c r="E483" s="45">
        <v>23052.95</v>
      </c>
      <c r="F483" s="18"/>
      <c r="G483" s="22">
        <v>-1.4E-3</v>
      </c>
    </row>
    <row r="484" spans="1:7" x14ac:dyDescent="0.3">
      <c r="A484" s="54">
        <v>44545</v>
      </c>
      <c r="B484" s="45">
        <v>22914.799999999999</v>
      </c>
      <c r="C484" s="45">
        <v>22914.799999999999</v>
      </c>
      <c r="D484" s="45">
        <v>22914.799999999999</v>
      </c>
      <c r="E484" s="45">
        <v>22914.799999999999</v>
      </c>
      <c r="F484" s="18"/>
      <c r="G484" s="22">
        <v>-6.0000000000000001E-3</v>
      </c>
    </row>
    <row r="485" spans="1:7" x14ac:dyDescent="0.3">
      <c r="A485" s="54">
        <v>44546</v>
      </c>
      <c r="B485" s="45">
        <v>22889.27</v>
      </c>
      <c r="C485" s="45">
        <v>22889.27</v>
      </c>
      <c r="D485" s="45">
        <v>22889.27</v>
      </c>
      <c r="E485" s="45">
        <v>22889.27</v>
      </c>
      <c r="F485" s="18"/>
      <c r="G485" s="22">
        <v>-1.1000000000000001E-3</v>
      </c>
    </row>
    <row r="486" spans="1:7" x14ac:dyDescent="0.3">
      <c r="A486" s="54">
        <v>44547</v>
      </c>
      <c r="B486" s="45">
        <v>22489.29</v>
      </c>
      <c r="C486" s="45">
        <v>22489.29</v>
      </c>
      <c r="D486" s="45">
        <v>22489.29</v>
      </c>
      <c r="E486" s="45">
        <v>22489.29</v>
      </c>
      <c r="F486" s="18"/>
      <c r="G486" s="22">
        <v>-1.7500000000000002E-2</v>
      </c>
    </row>
    <row r="487" spans="1:7" x14ac:dyDescent="0.3">
      <c r="A487" s="54">
        <v>44550</v>
      </c>
      <c r="B487" s="45">
        <v>21918.48</v>
      </c>
      <c r="C487" s="45">
        <v>21918.48</v>
      </c>
      <c r="D487" s="45">
        <v>21918.48</v>
      </c>
      <c r="E487" s="45">
        <v>21918.48</v>
      </c>
      <c r="F487" s="18"/>
      <c r="G487" s="22">
        <v>-2.5399999999999999E-2</v>
      </c>
    </row>
    <row r="488" spans="1:7" x14ac:dyDescent="0.3">
      <c r="A488" s="54">
        <v>44551</v>
      </c>
      <c r="B488" s="45">
        <v>22164.77</v>
      </c>
      <c r="C488" s="45">
        <v>22164.77</v>
      </c>
      <c r="D488" s="45">
        <v>22164.77</v>
      </c>
      <c r="E488" s="45">
        <v>22164.77</v>
      </c>
      <c r="F488" s="18"/>
      <c r="G488" s="22">
        <v>1.12E-2</v>
      </c>
    </row>
    <row r="489" spans="1:7" x14ac:dyDescent="0.3">
      <c r="A489" s="54">
        <v>44552</v>
      </c>
      <c r="B489" s="45">
        <v>22442.93</v>
      </c>
      <c r="C489" s="45">
        <v>22442.93</v>
      </c>
      <c r="D489" s="45">
        <v>22442.93</v>
      </c>
      <c r="E489" s="45">
        <v>22442.93</v>
      </c>
      <c r="F489" s="18"/>
      <c r="G489" s="22">
        <v>1.2500000000000001E-2</v>
      </c>
    </row>
    <row r="490" spans="1:7" x14ac:dyDescent="0.3">
      <c r="A490" s="54">
        <v>44553</v>
      </c>
      <c r="B490" s="45">
        <v>22614.17</v>
      </c>
      <c r="C490" s="45">
        <v>22614.17</v>
      </c>
      <c r="D490" s="45">
        <v>22614.17</v>
      </c>
      <c r="E490" s="45">
        <v>22614.17</v>
      </c>
      <c r="F490" s="18"/>
      <c r="G490" s="22">
        <v>7.6E-3</v>
      </c>
    </row>
    <row r="491" spans="1:7" x14ac:dyDescent="0.3">
      <c r="A491" s="54">
        <v>44554</v>
      </c>
      <c r="B491" s="45">
        <v>22481.33</v>
      </c>
      <c r="C491" s="45">
        <v>22481.33</v>
      </c>
      <c r="D491" s="45">
        <v>22481.33</v>
      </c>
      <c r="E491" s="45">
        <v>22481.33</v>
      </c>
      <c r="F491" s="18"/>
      <c r="G491" s="22">
        <v>-5.8999999999999999E-3</v>
      </c>
    </row>
    <row r="492" spans="1:7" x14ac:dyDescent="0.3">
      <c r="A492" s="54">
        <v>44557</v>
      </c>
      <c r="B492" s="45">
        <v>22577.599999999999</v>
      </c>
      <c r="C492" s="45">
        <v>22577.599999999999</v>
      </c>
      <c r="D492" s="45">
        <v>22577.599999999999</v>
      </c>
      <c r="E492" s="45">
        <v>22577.599999999999</v>
      </c>
      <c r="F492" s="18"/>
      <c r="G492" s="22">
        <v>4.3E-3</v>
      </c>
    </row>
    <row r="493" spans="1:7" x14ac:dyDescent="0.3">
      <c r="A493" s="54">
        <v>44558</v>
      </c>
      <c r="B493" s="45">
        <v>22792.66</v>
      </c>
      <c r="C493" s="45">
        <v>22792.66</v>
      </c>
      <c r="D493" s="45">
        <v>22792.66</v>
      </c>
      <c r="E493" s="45">
        <v>22792.66</v>
      </c>
      <c r="F493" s="18"/>
      <c r="G493" s="22">
        <v>9.4999999999999998E-3</v>
      </c>
    </row>
    <row r="494" spans="1:7" x14ac:dyDescent="0.3">
      <c r="A494" s="54">
        <v>44559</v>
      </c>
      <c r="B494" s="45">
        <v>22785.85</v>
      </c>
      <c r="C494" s="45">
        <v>22785.85</v>
      </c>
      <c r="D494" s="45">
        <v>22785.85</v>
      </c>
      <c r="E494" s="45">
        <v>22785.85</v>
      </c>
      <c r="F494" s="18"/>
      <c r="G494" s="22">
        <v>-2.9999999999999997E-4</v>
      </c>
    </row>
    <row r="495" spans="1:7" x14ac:dyDescent="0.3">
      <c r="A495" s="54">
        <v>44560</v>
      </c>
      <c r="B495" s="45">
        <v>22754.58</v>
      </c>
      <c r="C495" s="45">
        <v>22754.58</v>
      </c>
      <c r="D495" s="45">
        <v>22754.58</v>
      </c>
      <c r="E495" s="45">
        <v>22754.58</v>
      </c>
      <c r="F495" s="18"/>
      <c r="G495" s="22">
        <v>-1.4E-3</v>
      </c>
    </row>
    <row r="496" spans="1:7" x14ac:dyDescent="0.3">
      <c r="A496" s="54">
        <v>44561</v>
      </c>
      <c r="B496" s="45">
        <v>22990.880000000001</v>
      </c>
      <c r="C496" s="45">
        <v>22990.880000000001</v>
      </c>
      <c r="D496" s="45">
        <v>22990.880000000001</v>
      </c>
      <c r="E496" s="45">
        <v>22990.880000000001</v>
      </c>
      <c r="F496" s="18"/>
      <c r="G496" s="22">
        <v>1.04E-2</v>
      </c>
    </row>
    <row r="497" spans="1:7" x14ac:dyDescent="0.3">
      <c r="A497" s="54">
        <v>44564</v>
      </c>
      <c r="B497" s="45">
        <v>23310.38</v>
      </c>
      <c r="C497" s="45">
        <v>23310.38</v>
      </c>
      <c r="D497" s="45">
        <v>23310.38</v>
      </c>
      <c r="E497" s="45">
        <v>23310.38</v>
      </c>
      <c r="F497" s="18"/>
      <c r="G497" s="22">
        <v>1.3899999999999999E-2</v>
      </c>
    </row>
    <row r="498" spans="1:7" x14ac:dyDescent="0.3">
      <c r="A498" s="54">
        <v>44565</v>
      </c>
      <c r="B498" s="45">
        <v>23485.37</v>
      </c>
      <c r="C498" s="45">
        <v>23485.37</v>
      </c>
      <c r="D498" s="45">
        <v>23485.37</v>
      </c>
      <c r="E498" s="45">
        <v>23485.37</v>
      </c>
      <c r="F498" s="18"/>
      <c r="G498" s="22">
        <v>7.4999999999999997E-3</v>
      </c>
    </row>
    <row r="499" spans="1:7" x14ac:dyDescent="0.3">
      <c r="A499" s="54">
        <v>44566</v>
      </c>
      <c r="B499" s="45">
        <v>23604.46</v>
      </c>
      <c r="C499" s="45">
        <v>23604.46</v>
      </c>
      <c r="D499" s="45">
        <v>23604.46</v>
      </c>
      <c r="E499" s="45">
        <v>23604.46</v>
      </c>
      <c r="F499" s="18"/>
      <c r="G499" s="22">
        <v>5.1000000000000004E-3</v>
      </c>
    </row>
    <row r="500" spans="1:7" x14ac:dyDescent="0.3">
      <c r="A500" s="54">
        <v>44567</v>
      </c>
      <c r="B500" s="45">
        <v>23441.51</v>
      </c>
      <c r="C500" s="45">
        <v>23441.51</v>
      </c>
      <c r="D500" s="45">
        <v>23441.51</v>
      </c>
      <c r="E500" s="45">
        <v>23441.51</v>
      </c>
      <c r="F500" s="18"/>
      <c r="G500" s="22">
        <v>-6.8999999999999999E-3</v>
      </c>
    </row>
    <row r="501" spans="1:7" x14ac:dyDescent="0.3">
      <c r="A501" s="54">
        <v>44568</v>
      </c>
      <c r="B501" s="45">
        <v>23531.13</v>
      </c>
      <c r="C501" s="45">
        <v>23531.13</v>
      </c>
      <c r="D501" s="45">
        <v>23531.13</v>
      </c>
      <c r="E501" s="45">
        <v>23531.13</v>
      </c>
      <c r="F501" s="18"/>
      <c r="G501" s="22">
        <v>3.8E-3</v>
      </c>
    </row>
    <row r="502" spans="1:7" x14ac:dyDescent="0.3">
      <c r="A502" s="54">
        <v>44571</v>
      </c>
      <c r="B502" s="45">
        <v>23756.45</v>
      </c>
      <c r="C502" s="45">
        <v>23756.45</v>
      </c>
      <c r="D502" s="45">
        <v>23756.45</v>
      </c>
      <c r="E502" s="45">
        <v>23756.45</v>
      </c>
      <c r="F502" s="18"/>
      <c r="G502" s="22">
        <v>9.5999999999999992E-3</v>
      </c>
    </row>
    <row r="503" spans="1:7" x14ac:dyDescent="0.3">
      <c r="A503" s="54">
        <v>44572</v>
      </c>
      <c r="B503" s="45">
        <v>23810.11</v>
      </c>
      <c r="C503" s="45">
        <v>23810.11</v>
      </c>
      <c r="D503" s="45">
        <v>23810.11</v>
      </c>
      <c r="E503" s="45">
        <v>23810.11</v>
      </c>
      <c r="F503" s="18"/>
      <c r="G503" s="22">
        <v>2.3E-3</v>
      </c>
    </row>
    <row r="504" spans="1:7" x14ac:dyDescent="0.3">
      <c r="A504" s="54">
        <v>44573</v>
      </c>
      <c r="B504" s="45">
        <v>24020.69</v>
      </c>
      <c r="C504" s="45">
        <v>24020.69</v>
      </c>
      <c r="D504" s="45">
        <v>24020.69</v>
      </c>
      <c r="E504" s="45">
        <v>24020.69</v>
      </c>
      <c r="F504" s="18"/>
      <c r="G504" s="22">
        <v>8.8000000000000005E-3</v>
      </c>
    </row>
    <row r="505" spans="1:7" x14ac:dyDescent="0.3">
      <c r="A505" s="54">
        <v>44574</v>
      </c>
      <c r="B505" s="45">
        <v>24102.2</v>
      </c>
      <c r="C505" s="45">
        <v>24102.2</v>
      </c>
      <c r="D505" s="45">
        <v>24102.2</v>
      </c>
      <c r="E505" s="45">
        <v>24102.2</v>
      </c>
      <c r="F505" s="18"/>
      <c r="G505" s="22">
        <v>3.3999999999999998E-3</v>
      </c>
    </row>
    <row r="506" spans="1:7" x14ac:dyDescent="0.3">
      <c r="A506" s="54">
        <v>44575</v>
      </c>
      <c r="B506" s="45">
        <v>24116.52</v>
      </c>
      <c r="C506" s="45">
        <v>24116.52</v>
      </c>
      <c r="D506" s="45">
        <v>24116.52</v>
      </c>
      <c r="E506" s="45">
        <v>24116.52</v>
      </c>
      <c r="F506" s="18"/>
      <c r="G506" s="22">
        <v>5.9999999999999995E-4</v>
      </c>
    </row>
    <row r="507" spans="1:7" x14ac:dyDescent="0.3">
      <c r="A507" s="54">
        <v>44578</v>
      </c>
      <c r="B507" s="45">
        <v>24194.84</v>
      </c>
      <c r="C507" s="45">
        <v>24194.84</v>
      </c>
      <c r="D507" s="45">
        <v>24194.84</v>
      </c>
      <c r="E507" s="45">
        <v>24194.84</v>
      </c>
      <c r="F507" s="18"/>
      <c r="G507" s="22">
        <v>3.2000000000000002E-3</v>
      </c>
    </row>
    <row r="508" spans="1:7" x14ac:dyDescent="0.3">
      <c r="A508" s="54">
        <v>44579</v>
      </c>
      <c r="B508" s="45">
        <v>23875.7</v>
      </c>
      <c r="C508" s="45">
        <v>23875.7</v>
      </c>
      <c r="D508" s="45">
        <v>23875.7</v>
      </c>
      <c r="E508" s="45">
        <v>23875.7</v>
      </c>
      <c r="F508" s="18"/>
      <c r="G508" s="22">
        <v>-1.32E-2</v>
      </c>
    </row>
    <row r="509" spans="1:7" x14ac:dyDescent="0.3">
      <c r="A509" s="54">
        <v>44580</v>
      </c>
      <c r="B509" s="45">
        <v>23722.89</v>
      </c>
      <c r="C509" s="45">
        <v>23722.89</v>
      </c>
      <c r="D509" s="45">
        <v>23722.89</v>
      </c>
      <c r="E509" s="45">
        <v>23722.89</v>
      </c>
      <c r="F509" s="18"/>
      <c r="G509" s="22">
        <v>-6.4000000000000003E-3</v>
      </c>
    </row>
    <row r="510" spans="1:7" x14ac:dyDescent="0.3">
      <c r="A510" s="54">
        <v>44581</v>
      </c>
      <c r="B510" s="45">
        <v>23554.44</v>
      </c>
      <c r="C510" s="45">
        <v>23554.44</v>
      </c>
      <c r="D510" s="45">
        <v>23554.44</v>
      </c>
      <c r="E510" s="45">
        <v>23554.44</v>
      </c>
      <c r="F510" s="18"/>
      <c r="G510" s="22">
        <v>-7.1000000000000004E-3</v>
      </c>
    </row>
    <row r="511" spans="1:7" x14ac:dyDescent="0.3">
      <c r="A511" s="54">
        <v>44582</v>
      </c>
      <c r="B511" s="45">
        <v>23278.25</v>
      </c>
      <c r="C511" s="45">
        <v>23278.25</v>
      </c>
      <c r="D511" s="45">
        <v>23278.25</v>
      </c>
      <c r="E511" s="45">
        <v>23278.25</v>
      </c>
      <c r="F511" s="18"/>
      <c r="G511" s="22">
        <v>-1.17E-2</v>
      </c>
    </row>
    <row r="512" spans="1:7" x14ac:dyDescent="0.3">
      <c r="A512" s="54">
        <v>44585</v>
      </c>
      <c r="B512" s="45">
        <v>22560.17</v>
      </c>
      <c r="C512" s="45">
        <v>22560.17</v>
      </c>
      <c r="D512" s="45">
        <v>22560.17</v>
      </c>
      <c r="E512" s="45">
        <v>22560.17</v>
      </c>
      <c r="F512" s="18"/>
      <c r="G512" s="22">
        <v>-3.0800000000000001E-2</v>
      </c>
    </row>
    <row r="513" spans="1:7" x14ac:dyDescent="0.3">
      <c r="A513" s="54">
        <v>44586</v>
      </c>
      <c r="B513" s="45">
        <v>22744.48</v>
      </c>
      <c r="C513" s="45">
        <v>22744.48</v>
      </c>
      <c r="D513" s="45">
        <v>22744.48</v>
      </c>
      <c r="E513" s="45">
        <v>22744.48</v>
      </c>
      <c r="F513" s="18"/>
      <c r="G513" s="22">
        <v>8.2000000000000007E-3</v>
      </c>
    </row>
    <row r="514" spans="1:7" x14ac:dyDescent="0.3">
      <c r="A514" s="54">
        <v>44588</v>
      </c>
      <c r="B514" s="45">
        <v>22510.82</v>
      </c>
      <c r="C514" s="45">
        <v>22510.82</v>
      </c>
      <c r="D514" s="45">
        <v>22510.82</v>
      </c>
      <c r="E514" s="45">
        <v>22510.82</v>
      </c>
      <c r="F514" s="18"/>
      <c r="G514" s="22">
        <v>-1.03E-2</v>
      </c>
    </row>
    <row r="515" spans="1:7" x14ac:dyDescent="0.3">
      <c r="A515" s="54">
        <v>44589</v>
      </c>
      <c r="B515" s="45">
        <v>22577.57</v>
      </c>
      <c r="C515" s="45">
        <v>22577.57</v>
      </c>
      <c r="D515" s="45">
        <v>22577.57</v>
      </c>
      <c r="E515" s="45">
        <v>22577.57</v>
      </c>
      <c r="F515" s="18"/>
      <c r="G515" s="22">
        <v>3.0000000000000001E-3</v>
      </c>
    </row>
    <row r="516" spans="1:7" x14ac:dyDescent="0.3">
      <c r="A516" s="54">
        <v>44592</v>
      </c>
      <c r="B516" s="45">
        <v>22881.58</v>
      </c>
      <c r="C516" s="45">
        <v>22881.58</v>
      </c>
      <c r="D516" s="45">
        <v>22881.58</v>
      </c>
      <c r="E516" s="45">
        <v>22881.58</v>
      </c>
      <c r="F516" s="18"/>
      <c r="G516" s="22">
        <v>1.35E-2</v>
      </c>
    </row>
    <row r="517" spans="1:7" x14ac:dyDescent="0.3">
      <c r="A517" s="54">
        <v>44593</v>
      </c>
      <c r="B517" s="45">
        <v>23180.44</v>
      </c>
      <c r="C517" s="45">
        <v>23180.44</v>
      </c>
      <c r="D517" s="45">
        <v>23180.44</v>
      </c>
      <c r="E517" s="45">
        <v>23180.44</v>
      </c>
      <c r="F517" s="18"/>
      <c r="G517" s="22">
        <v>1.3100000000000001E-2</v>
      </c>
    </row>
    <row r="518" spans="1:7" x14ac:dyDescent="0.3">
      <c r="A518" s="54">
        <v>44594</v>
      </c>
      <c r="B518" s="45">
        <v>23452.49</v>
      </c>
      <c r="C518" s="45">
        <v>23452.49</v>
      </c>
      <c r="D518" s="45">
        <v>23452.49</v>
      </c>
      <c r="E518" s="45">
        <v>23452.49</v>
      </c>
      <c r="F518" s="18"/>
      <c r="G518" s="22">
        <v>1.17E-2</v>
      </c>
    </row>
    <row r="519" spans="1:7" x14ac:dyDescent="0.3">
      <c r="A519" s="54">
        <v>44595</v>
      </c>
      <c r="B519" s="45">
        <v>23215.34</v>
      </c>
      <c r="C519" s="45">
        <v>23215.34</v>
      </c>
      <c r="D519" s="45">
        <v>23215.34</v>
      </c>
      <c r="E519" s="45">
        <v>23215.34</v>
      </c>
      <c r="F519" s="18"/>
      <c r="G519" s="22">
        <v>-1.01E-2</v>
      </c>
    </row>
    <row r="520" spans="1:7" x14ac:dyDescent="0.3">
      <c r="A520" s="54">
        <v>44596</v>
      </c>
      <c r="B520" s="45">
        <v>23138.74</v>
      </c>
      <c r="C520" s="45">
        <v>23138.74</v>
      </c>
      <c r="D520" s="45">
        <v>23138.74</v>
      </c>
      <c r="E520" s="45">
        <v>23138.74</v>
      </c>
      <c r="F520" s="18"/>
      <c r="G520" s="22">
        <v>-3.3E-3</v>
      </c>
    </row>
    <row r="521" spans="1:7" x14ac:dyDescent="0.3">
      <c r="A521" s="54">
        <v>44599</v>
      </c>
      <c r="B521" s="45">
        <v>22809.5</v>
      </c>
      <c r="C521" s="45">
        <v>22809.5</v>
      </c>
      <c r="D521" s="45">
        <v>22809.5</v>
      </c>
      <c r="E521" s="45">
        <v>22809.5</v>
      </c>
      <c r="F521" s="18"/>
      <c r="G521" s="22">
        <v>-1.4200000000000001E-2</v>
      </c>
    </row>
    <row r="522" spans="1:7" x14ac:dyDescent="0.3">
      <c r="A522" s="54">
        <v>44600</v>
      </c>
      <c r="B522" s="45">
        <v>22788.92</v>
      </c>
      <c r="C522" s="45">
        <v>22788.92</v>
      </c>
      <c r="D522" s="45">
        <v>22788.92</v>
      </c>
      <c r="E522" s="45">
        <v>22788.92</v>
      </c>
      <c r="F522" s="18"/>
      <c r="G522" s="22">
        <v>-8.9999999999999998E-4</v>
      </c>
    </row>
    <row r="523" spans="1:7" x14ac:dyDescent="0.3">
      <c r="A523" s="54">
        <v>44601</v>
      </c>
      <c r="B523" s="45">
        <v>23037.24</v>
      </c>
      <c r="C523" s="45">
        <v>23037.24</v>
      </c>
      <c r="D523" s="45">
        <v>23037.24</v>
      </c>
      <c r="E523" s="45">
        <v>23037.24</v>
      </c>
      <c r="F523" s="18"/>
      <c r="G523" s="22">
        <v>1.09E-2</v>
      </c>
    </row>
    <row r="524" spans="1:7" x14ac:dyDescent="0.3">
      <c r="A524" s="54">
        <v>44602</v>
      </c>
      <c r="B524" s="45">
        <v>23186.39</v>
      </c>
      <c r="C524" s="45">
        <v>23186.39</v>
      </c>
      <c r="D524" s="45">
        <v>23186.39</v>
      </c>
      <c r="E524" s="45">
        <v>23186.39</v>
      </c>
      <c r="F524" s="18"/>
      <c r="G524" s="22">
        <v>6.4999999999999997E-3</v>
      </c>
    </row>
    <row r="525" spans="1:7" x14ac:dyDescent="0.3">
      <c r="A525" s="54">
        <v>44603</v>
      </c>
      <c r="B525" s="45">
        <v>22847.57</v>
      </c>
      <c r="C525" s="45">
        <v>22847.57</v>
      </c>
      <c r="D525" s="45">
        <v>22847.57</v>
      </c>
      <c r="E525" s="45">
        <v>22847.57</v>
      </c>
      <c r="F525" s="18"/>
      <c r="G525" s="22">
        <v>-1.46E-2</v>
      </c>
    </row>
    <row r="526" spans="1:7" x14ac:dyDescent="0.3">
      <c r="A526" s="54">
        <v>44606</v>
      </c>
      <c r="B526" s="45">
        <v>22103.72</v>
      </c>
      <c r="C526" s="45">
        <v>22103.72</v>
      </c>
      <c r="D526" s="45">
        <v>22103.72</v>
      </c>
      <c r="E526" s="45">
        <v>22103.72</v>
      </c>
      <c r="F526" s="18"/>
      <c r="G526" s="22">
        <v>-3.2599999999999997E-2</v>
      </c>
    </row>
    <row r="527" spans="1:7" x14ac:dyDescent="0.3">
      <c r="A527" s="54">
        <v>44607</v>
      </c>
      <c r="B527" s="45">
        <v>22726.82</v>
      </c>
      <c r="C527" s="45">
        <v>22726.82</v>
      </c>
      <c r="D527" s="45">
        <v>22726.82</v>
      </c>
      <c r="E527" s="45">
        <v>22726.82</v>
      </c>
      <c r="F527" s="18"/>
      <c r="G527" s="22">
        <v>2.8199999999999999E-2</v>
      </c>
    </row>
    <row r="528" spans="1:7" x14ac:dyDescent="0.3">
      <c r="A528" s="54">
        <v>44608</v>
      </c>
      <c r="B528" s="45">
        <v>22706.7</v>
      </c>
      <c r="C528" s="45">
        <v>22706.7</v>
      </c>
      <c r="D528" s="45">
        <v>22706.7</v>
      </c>
      <c r="E528" s="45">
        <v>22706.7</v>
      </c>
      <c r="F528" s="18"/>
      <c r="G528" s="22">
        <v>-8.9999999999999998E-4</v>
      </c>
    </row>
    <row r="529" spans="1:7" x14ac:dyDescent="0.3">
      <c r="A529" s="54">
        <v>44609</v>
      </c>
      <c r="B529" s="45">
        <v>22682.48</v>
      </c>
      <c r="C529" s="45">
        <v>22682.48</v>
      </c>
      <c r="D529" s="45">
        <v>22682.48</v>
      </c>
      <c r="E529" s="45">
        <v>22682.48</v>
      </c>
      <c r="F529" s="18"/>
      <c r="G529" s="22">
        <v>-1.1000000000000001E-3</v>
      </c>
    </row>
    <row r="530" spans="1:7" x14ac:dyDescent="0.3">
      <c r="A530" s="54">
        <v>44610</v>
      </c>
      <c r="B530" s="45">
        <v>22588.37</v>
      </c>
      <c r="C530" s="45">
        <v>22588.37</v>
      </c>
      <c r="D530" s="45">
        <v>22588.37</v>
      </c>
      <c r="E530" s="45">
        <v>22588.37</v>
      </c>
      <c r="F530" s="18"/>
      <c r="G530" s="22">
        <v>-4.1000000000000003E-3</v>
      </c>
    </row>
    <row r="531" spans="1:7" x14ac:dyDescent="0.3">
      <c r="A531" s="54">
        <v>44613</v>
      </c>
      <c r="B531" s="45">
        <v>22419.75</v>
      </c>
      <c r="C531" s="45">
        <v>22419.75</v>
      </c>
      <c r="D531" s="45">
        <v>22419.75</v>
      </c>
      <c r="E531" s="45">
        <v>22419.75</v>
      </c>
      <c r="F531" s="18"/>
      <c r="G531" s="22">
        <v>-7.4999999999999997E-3</v>
      </c>
    </row>
    <row r="532" spans="1:7" x14ac:dyDescent="0.3">
      <c r="A532" s="54">
        <v>44614</v>
      </c>
      <c r="B532" s="45">
        <v>22254.97</v>
      </c>
      <c r="C532" s="45">
        <v>22254.97</v>
      </c>
      <c r="D532" s="45">
        <v>22254.97</v>
      </c>
      <c r="E532" s="45">
        <v>22254.97</v>
      </c>
      <c r="F532" s="18"/>
      <c r="G532" s="22">
        <v>-7.3000000000000001E-3</v>
      </c>
    </row>
    <row r="533" spans="1:7" x14ac:dyDescent="0.3">
      <c r="A533" s="54">
        <v>44615</v>
      </c>
      <c r="B533" s="45">
        <v>22282.639999999999</v>
      </c>
      <c r="C533" s="45">
        <v>22282.639999999999</v>
      </c>
      <c r="D533" s="45">
        <v>22282.639999999999</v>
      </c>
      <c r="E533" s="45">
        <v>22282.639999999999</v>
      </c>
      <c r="F533" s="18"/>
      <c r="G533" s="22">
        <v>1.1999999999999999E-3</v>
      </c>
    </row>
    <row r="534" spans="1:7" x14ac:dyDescent="0.3">
      <c r="A534" s="54">
        <v>44616</v>
      </c>
      <c r="B534" s="45">
        <v>21159.69</v>
      </c>
      <c r="C534" s="45">
        <v>21159.69</v>
      </c>
      <c r="D534" s="45">
        <v>21159.69</v>
      </c>
      <c r="E534" s="45">
        <v>21159.69</v>
      </c>
      <c r="F534" s="18"/>
      <c r="G534" s="22">
        <v>-5.04E-2</v>
      </c>
    </row>
    <row r="535" spans="1:7" x14ac:dyDescent="0.3">
      <c r="A535" s="54">
        <v>44617</v>
      </c>
      <c r="B535" s="45">
        <v>21793.49</v>
      </c>
      <c r="C535" s="45">
        <v>21793.49</v>
      </c>
      <c r="D535" s="45">
        <v>21793.49</v>
      </c>
      <c r="E535" s="45">
        <v>21793.49</v>
      </c>
      <c r="F535" s="18"/>
      <c r="G535" s="22">
        <v>0.03</v>
      </c>
    </row>
    <row r="536" spans="1:7" x14ac:dyDescent="0.3">
      <c r="A536" s="54">
        <v>44620</v>
      </c>
      <c r="B536" s="45">
        <v>21978.65</v>
      </c>
      <c r="C536" s="45">
        <v>21978.65</v>
      </c>
      <c r="D536" s="45">
        <v>21978.65</v>
      </c>
      <c r="E536" s="45">
        <v>21978.65</v>
      </c>
      <c r="F536" s="18"/>
      <c r="G536" s="22">
        <v>8.5000000000000006E-3</v>
      </c>
    </row>
    <row r="537" spans="1:7" x14ac:dyDescent="0.3">
      <c r="A537" s="54">
        <v>44622</v>
      </c>
      <c r="B537" s="45">
        <v>21812.5</v>
      </c>
      <c r="C537" s="45">
        <v>21812.5</v>
      </c>
      <c r="D537" s="45">
        <v>21812.5</v>
      </c>
      <c r="E537" s="45">
        <v>21812.5</v>
      </c>
      <c r="F537" s="18"/>
      <c r="G537" s="22">
        <v>-7.6E-3</v>
      </c>
    </row>
    <row r="538" spans="1:7" x14ac:dyDescent="0.3">
      <c r="A538" s="54">
        <v>44623</v>
      </c>
      <c r="B538" s="45">
        <v>21714.47</v>
      </c>
      <c r="C538" s="45">
        <v>21714.47</v>
      </c>
      <c r="D538" s="45">
        <v>21714.47</v>
      </c>
      <c r="E538" s="45">
        <v>21714.47</v>
      </c>
      <c r="F538" s="18"/>
      <c r="G538" s="22">
        <v>-4.4999999999999997E-3</v>
      </c>
    </row>
    <row r="539" spans="1:7" x14ac:dyDescent="0.3">
      <c r="A539" s="54">
        <v>44624</v>
      </c>
      <c r="B539" s="45">
        <v>21341.5</v>
      </c>
      <c r="C539" s="45">
        <v>21341.5</v>
      </c>
      <c r="D539" s="45">
        <v>21341.5</v>
      </c>
      <c r="E539" s="45">
        <v>21341.5</v>
      </c>
      <c r="F539" s="18"/>
      <c r="G539" s="22">
        <v>-1.72E-2</v>
      </c>
    </row>
    <row r="540" spans="1:7" x14ac:dyDescent="0.3">
      <c r="A540" s="54">
        <v>44627</v>
      </c>
      <c r="B540" s="45">
        <v>20836.23</v>
      </c>
      <c r="C540" s="45">
        <v>20836.23</v>
      </c>
      <c r="D540" s="45">
        <v>20836.23</v>
      </c>
      <c r="E540" s="45">
        <v>20836.23</v>
      </c>
      <c r="F540" s="18"/>
      <c r="G540" s="22">
        <v>-2.3699999999999999E-2</v>
      </c>
    </row>
    <row r="541" spans="1:7" x14ac:dyDescent="0.3">
      <c r="A541" s="54">
        <v>44628</v>
      </c>
      <c r="B541" s="45">
        <v>21055.17</v>
      </c>
      <c r="C541" s="45">
        <v>21055.17</v>
      </c>
      <c r="D541" s="45">
        <v>21055.17</v>
      </c>
      <c r="E541" s="45">
        <v>21055.17</v>
      </c>
      <c r="F541" s="18"/>
      <c r="G541" s="22">
        <v>1.0500000000000001E-2</v>
      </c>
    </row>
    <row r="542" spans="1:7" x14ac:dyDescent="0.3">
      <c r="A542" s="54">
        <v>44629</v>
      </c>
      <c r="B542" s="45">
        <v>21477.68</v>
      </c>
      <c r="C542" s="45">
        <v>21477.68</v>
      </c>
      <c r="D542" s="45">
        <v>21477.68</v>
      </c>
      <c r="E542" s="45">
        <v>21477.68</v>
      </c>
      <c r="F542" s="18"/>
      <c r="G542" s="22">
        <v>2.01E-2</v>
      </c>
    </row>
    <row r="543" spans="1:7" x14ac:dyDescent="0.3">
      <c r="A543" s="54">
        <v>44630</v>
      </c>
      <c r="B543" s="45">
        <v>21799.49</v>
      </c>
      <c r="C543" s="45">
        <v>21799.49</v>
      </c>
      <c r="D543" s="45">
        <v>21799.49</v>
      </c>
      <c r="E543" s="45">
        <v>21799.49</v>
      </c>
      <c r="F543" s="18"/>
      <c r="G543" s="22">
        <v>1.4999999999999999E-2</v>
      </c>
    </row>
    <row r="544" spans="1:7" x14ac:dyDescent="0.3">
      <c r="A544" s="54">
        <v>44631</v>
      </c>
      <c r="B544" s="45">
        <v>21873.99</v>
      </c>
      <c r="C544" s="45">
        <v>21873.99</v>
      </c>
      <c r="D544" s="45">
        <v>21873.99</v>
      </c>
      <c r="E544" s="45">
        <v>21873.99</v>
      </c>
      <c r="F544" s="18"/>
      <c r="G544" s="22">
        <v>3.3999999999999998E-3</v>
      </c>
    </row>
    <row r="545" spans="1:7" x14ac:dyDescent="0.3">
      <c r="A545" s="54">
        <v>44634</v>
      </c>
      <c r="B545" s="45">
        <v>22085.19</v>
      </c>
      <c r="C545" s="45">
        <v>22085.19</v>
      </c>
      <c r="D545" s="45">
        <v>22085.19</v>
      </c>
      <c r="E545" s="45">
        <v>22085.19</v>
      </c>
      <c r="F545" s="18"/>
      <c r="G545" s="22">
        <v>9.7000000000000003E-3</v>
      </c>
    </row>
    <row r="546" spans="1:7" x14ac:dyDescent="0.3">
      <c r="A546" s="54">
        <v>44635</v>
      </c>
      <c r="B546" s="45">
        <v>21841.279999999999</v>
      </c>
      <c r="C546" s="45">
        <v>21841.279999999999</v>
      </c>
      <c r="D546" s="45">
        <v>21841.279999999999</v>
      </c>
      <c r="E546" s="45">
        <v>21841.279999999999</v>
      </c>
      <c r="F546" s="18"/>
      <c r="G546" s="22">
        <v>-1.0999999999999999E-2</v>
      </c>
    </row>
    <row r="547" spans="1:7" x14ac:dyDescent="0.3">
      <c r="A547" s="54">
        <v>44636</v>
      </c>
      <c r="B547" s="45">
        <v>22250.14</v>
      </c>
      <c r="C547" s="45">
        <v>22250.14</v>
      </c>
      <c r="D547" s="45">
        <v>22250.14</v>
      </c>
      <c r="E547" s="45">
        <v>22250.14</v>
      </c>
      <c r="F547" s="18"/>
      <c r="G547" s="22">
        <v>1.8700000000000001E-2</v>
      </c>
    </row>
    <row r="548" spans="1:7" x14ac:dyDescent="0.3">
      <c r="A548" s="54">
        <v>44637</v>
      </c>
      <c r="B548" s="45">
        <v>22618.83</v>
      </c>
      <c r="C548" s="45">
        <v>22618.83</v>
      </c>
      <c r="D548" s="45">
        <v>22618.83</v>
      </c>
      <c r="E548" s="45">
        <v>22618.83</v>
      </c>
      <c r="F548" s="18"/>
      <c r="G548" s="22">
        <v>1.66E-2</v>
      </c>
    </row>
    <row r="549" spans="1:7" x14ac:dyDescent="0.3">
      <c r="A549" s="54">
        <v>44641</v>
      </c>
      <c r="B549" s="45">
        <v>22437.279999999999</v>
      </c>
      <c r="C549" s="45">
        <v>22437.279999999999</v>
      </c>
      <c r="D549" s="45">
        <v>22437.279999999999</v>
      </c>
      <c r="E549" s="45">
        <v>22437.279999999999</v>
      </c>
      <c r="F549" s="18"/>
      <c r="G549" s="22">
        <v>-8.0000000000000002E-3</v>
      </c>
    </row>
    <row r="550" spans="1:7" x14ac:dyDescent="0.3">
      <c r="A550" s="54">
        <v>44642</v>
      </c>
      <c r="B550" s="45">
        <v>22624.23</v>
      </c>
      <c r="C550" s="45">
        <v>22624.23</v>
      </c>
      <c r="D550" s="45">
        <v>22624.23</v>
      </c>
      <c r="E550" s="45">
        <v>22624.23</v>
      </c>
      <c r="F550" s="18"/>
      <c r="G550" s="22">
        <v>8.3000000000000001E-3</v>
      </c>
    </row>
    <row r="551" spans="1:7" x14ac:dyDescent="0.3">
      <c r="A551" s="54">
        <v>44643</v>
      </c>
      <c r="B551" s="45">
        <v>22579.87</v>
      </c>
      <c r="C551" s="45">
        <v>22579.87</v>
      </c>
      <c r="D551" s="45">
        <v>22579.87</v>
      </c>
      <c r="E551" s="45">
        <v>22579.87</v>
      </c>
      <c r="F551" s="18"/>
      <c r="G551" s="22">
        <v>-2E-3</v>
      </c>
    </row>
    <row r="552" spans="1:7" x14ac:dyDescent="0.3">
      <c r="A552" s="54">
        <v>44644</v>
      </c>
      <c r="B552" s="45">
        <v>22586.94</v>
      </c>
      <c r="C552" s="45">
        <v>22586.94</v>
      </c>
      <c r="D552" s="45">
        <v>22586.94</v>
      </c>
      <c r="E552" s="45">
        <v>22586.94</v>
      </c>
      <c r="F552" s="18"/>
      <c r="G552" s="22">
        <v>2.9999999999999997E-4</v>
      </c>
    </row>
    <row r="553" spans="1:7" x14ac:dyDescent="0.3">
      <c r="A553" s="54">
        <v>44645</v>
      </c>
      <c r="B553" s="45">
        <v>22513.87</v>
      </c>
      <c r="C553" s="45">
        <v>22513.87</v>
      </c>
      <c r="D553" s="45">
        <v>22513.87</v>
      </c>
      <c r="E553" s="45">
        <v>22513.87</v>
      </c>
      <c r="F553" s="18"/>
      <c r="G553" s="22">
        <v>-3.2000000000000002E-3</v>
      </c>
    </row>
    <row r="554" spans="1:7" x14ac:dyDescent="0.3">
      <c r="A554" s="54">
        <v>44648</v>
      </c>
      <c r="B554" s="45">
        <v>22551.67</v>
      </c>
      <c r="C554" s="45">
        <v>22551.67</v>
      </c>
      <c r="D554" s="45">
        <v>22551.67</v>
      </c>
      <c r="E554" s="45">
        <v>22551.67</v>
      </c>
      <c r="F554" s="18"/>
      <c r="G554" s="22">
        <v>1.6999999999999999E-3</v>
      </c>
    </row>
    <row r="555" spans="1:7" x14ac:dyDescent="0.3">
      <c r="A555" s="54">
        <v>44649</v>
      </c>
      <c r="B555" s="45">
        <v>22684.14</v>
      </c>
      <c r="C555" s="45">
        <v>22684.14</v>
      </c>
      <c r="D555" s="45">
        <v>22684.14</v>
      </c>
      <c r="E555" s="45">
        <v>22684.14</v>
      </c>
      <c r="F555" s="18"/>
      <c r="G555" s="22">
        <v>5.8999999999999999E-3</v>
      </c>
    </row>
    <row r="556" spans="1:7" x14ac:dyDescent="0.3">
      <c r="A556" s="54">
        <v>44650</v>
      </c>
      <c r="B556" s="45">
        <v>22892.81</v>
      </c>
      <c r="C556" s="45">
        <v>22892.81</v>
      </c>
      <c r="D556" s="45">
        <v>22892.81</v>
      </c>
      <c r="E556" s="45">
        <v>22892.81</v>
      </c>
      <c r="F556" s="18"/>
      <c r="G556" s="22">
        <v>9.1999999999999998E-3</v>
      </c>
    </row>
    <row r="557" spans="1:7" x14ac:dyDescent="0.3">
      <c r="A557" s="54">
        <v>44651</v>
      </c>
      <c r="B557" s="45">
        <v>22889.14</v>
      </c>
      <c r="C557" s="45">
        <v>22889.14</v>
      </c>
      <c r="D557" s="45">
        <v>22889.14</v>
      </c>
      <c r="E557" s="45">
        <v>22889.14</v>
      </c>
      <c r="F557" s="18"/>
      <c r="G557" s="22">
        <v>-2.0000000000000001E-4</v>
      </c>
    </row>
    <row r="558" spans="1:7" x14ac:dyDescent="0.3">
      <c r="A558" s="54">
        <v>44652</v>
      </c>
      <c r="B558" s="45">
        <v>23185.39</v>
      </c>
      <c r="C558" s="45">
        <v>23185.39</v>
      </c>
      <c r="D558" s="45">
        <v>23185.39</v>
      </c>
      <c r="E558" s="45">
        <v>23185.39</v>
      </c>
      <c r="F558" s="18"/>
      <c r="G558" s="22">
        <v>1.29E-2</v>
      </c>
    </row>
    <row r="559" spans="1:7" x14ac:dyDescent="0.3">
      <c r="A559" s="54">
        <v>44655</v>
      </c>
      <c r="B559" s="45">
        <v>23642.61</v>
      </c>
      <c r="C559" s="45">
        <v>23642.61</v>
      </c>
      <c r="D559" s="45">
        <v>23642.61</v>
      </c>
      <c r="E559" s="45">
        <v>23642.61</v>
      </c>
      <c r="F559" s="18"/>
      <c r="G559" s="22">
        <v>1.9699999999999999E-2</v>
      </c>
    </row>
    <row r="560" spans="1:7" x14ac:dyDescent="0.3">
      <c r="A560" s="54">
        <v>44656</v>
      </c>
      <c r="B560" s="45">
        <v>23653.78</v>
      </c>
      <c r="C560" s="45">
        <v>23653.78</v>
      </c>
      <c r="D560" s="45">
        <v>23653.78</v>
      </c>
      <c r="E560" s="45">
        <v>23653.78</v>
      </c>
      <c r="F560" s="18"/>
      <c r="G560" s="22">
        <v>5.0000000000000001E-4</v>
      </c>
    </row>
    <row r="561" spans="1:7" x14ac:dyDescent="0.3">
      <c r="A561" s="54">
        <v>44657</v>
      </c>
      <c r="B561" s="45">
        <v>23557.599999999999</v>
      </c>
      <c r="C561" s="45">
        <v>23557.599999999999</v>
      </c>
      <c r="D561" s="45">
        <v>23557.599999999999</v>
      </c>
      <c r="E561" s="45">
        <v>23557.599999999999</v>
      </c>
      <c r="F561" s="18"/>
      <c r="G561" s="22">
        <v>-4.1000000000000003E-3</v>
      </c>
    </row>
    <row r="562" spans="1:7" x14ac:dyDescent="0.3">
      <c r="A562" s="54">
        <v>44658</v>
      </c>
      <c r="B562" s="45">
        <v>23362.93</v>
      </c>
      <c r="C562" s="45">
        <v>23362.93</v>
      </c>
      <c r="D562" s="45">
        <v>23362.93</v>
      </c>
      <c r="E562" s="45">
        <v>23362.93</v>
      </c>
      <c r="F562" s="18"/>
      <c r="G562" s="22">
        <v>-8.3000000000000001E-3</v>
      </c>
    </row>
    <row r="563" spans="1:7" x14ac:dyDescent="0.3">
      <c r="A563" s="54">
        <v>44659</v>
      </c>
      <c r="B563" s="45">
        <v>23579.95</v>
      </c>
      <c r="C563" s="45">
        <v>23579.95</v>
      </c>
      <c r="D563" s="45">
        <v>23579.95</v>
      </c>
      <c r="E563" s="45">
        <v>23579.95</v>
      </c>
      <c r="F563" s="18"/>
      <c r="G563" s="22">
        <v>9.2999999999999992E-3</v>
      </c>
    </row>
    <row r="564" spans="1:7" x14ac:dyDescent="0.3">
      <c r="A564" s="54">
        <v>44662</v>
      </c>
      <c r="B564" s="45">
        <v>23553.95</v>
      </c>
      <c r="C564" s="45">
        <v>23553.95</v>
      </c>
      <c r="D564" s="45">
        <v>23553.95</v>
      </c>
      <c r="E564" s="45">
        <v>23553.95</v>
      </c>
      <c r="F564" s="18"/>
      <c r="G564" s="22">
        <v>-1.1000000000000001E-3</v>
      </c>
    </row>
    <row r="565" spans="1:7" x14ac:dyDescent="0.3">
      <c r="A565" s="54">
        <v>44663</v>
      </c>
      <c r="B565" s="45">
        <v>23306.86</v>
      </c>
      <c r="C565" s="45">
        <v>23306.86</v>
      </c>
      <c r="D565" s="45">
        <v>23306.86</v>
      </c>
      <c r="E565" s="45">
        <v>23306.86</v>
      </c>
      <c r="F565" s="18"/>
      <c r="G565" s="22">
        <v>-1.0500000000000001E-2</v>
      </c>
    </row>
    <row r="566" spans="1:7" x14ac:dyDescent="0.3">
      <c r="A566" s="54">
        <v>44664</v>
      </c>
      <c r="B566" s="45">
        <v>23266.65</v>
      </c>
      <c r="C566" s="45">
        <v>23266.65</v>
      </c>
      <c r="D566" s="45">
        <v>23266.65</v>
      </c>
      <c r="E566" s="45">
        <v>23266.65</v>
      </c>
      <c r="F566" s="18"/>
      <c r="G566" s="22">
        <v>-1.6999999999999999E-3</v>
      </c>
    </row>
    <row r="567" spans="1:7" x14ac:dyDescent="0.3">
      <c r="A567" s="54">
        <v>44669</v>
      </c>
      <c r="B567" s="45">
        <v>22940.09</v>
      </c>
      <c r="C567" s="45">
        <v>22940.09</v>
      </c>
      <c r="D567" s="45">
        <v>22940.09</v>
      </c>
      <c r="E567" s="45">
        <v>22940.09</v>
      </c>
      <c r="F567" s="18"/>
      <c r="G567" s="22">
        <v>-1.4E-2</v>
      </c>
    </row>
    <row r="568" spans="1:7" x14ac:dyDescent="0.3">
      <c r="A568" s="54">
        <v>44670</v>
      </c>
      <c r="B568" s="45">
        <v>22634.01</v>
      </c>
      <c r="C568" s="45">
        <v>22634.01</v>
      </c>
      <c r="D568" s="45">
        <v>22634.01</v>
      </c>
      <c r="E568" s="45">
        <v>22634.01</v>
      </c>
      <c r="F568" s="18"/>
      <c r="G568" s="22">
        <v>-1.3299999999999999E-2</v>
      </c>
    </row>
    <row r="569" spans="1:7" x14ac:dyDescent="0.3">
      <c r="A569" s="54">
        <v>44671</v>
      </c>
      <c r="B569" s="45">
        <v>22824.1</v>
      </c>
      <c r="C569" s="45">
        <v>22824.1</v>
      </c>
      <c r="D569" s="45">
        <v>22824.1</v>
      </c>
      <c r="E569" s="45">
        <v>22824.1</v>
      </c>
      <c r="F569" s="18"/>
      <c r="G569" s="22">
        <v>8.3999999999999995E-3</v>
      </c>
    </row>
    <row r="570" spans="1:7" x14ac:dyDescent="0.3">
      <c r="A570" s="54">
        <v>44672</v>
      </c>
      <c r="B570" s="45">
        <v>23137.67</v>
      </c>
      <c r="C570" s="45">
        <v>23137.67</v>
      </c>
      <c r="D570" s="45">
        <v>23137.67</v>
      </c>
      <c r="E570" s="45">
        <v>23137.67</v>
      </c>
      <c r="F570" s="18"/>
      <c r="G570" s="22">
        <v>1.37E-2</v>
      </c>
    </row>
    <row r="571" spans="1:7" x14ac:dyDescent="0.3">
      <c r="A571" s="54">
        <v>44673</v>
      </c>
      <c r="B571" s="45">
        <v>22893.200000000001</v>
      </c>
      <c r="C571" s="45">
        <v>22893.200000000001</v>
      </c>
      <c r="D571" s="45">
        <v>22893.200000000001</v>
      </c>
      <c r="E571" s="45">
        <v>22893.200000000001</v>
      </c>
      <c r="F571" s="18"/>
      <c r="G571" s="22">
        <v>-1.06E-2</v>
      </c>
    </row>
    <row r="572" spans="1:7" x14ac:dyDescent="0.3">
      <c r="A572" s="54">
        <v>44676</v>
      </c>
      <c r="B572" s="45">
        <v>22552.63</v>
      </c>
      <c r="C572" s="45">
        <v>22552.63</v>
      </c>
      <c r="D572" s="45">
        <v>22552.63</v>
      </c>
      <c r="E572" s="45">
        <v>22552.63</v>
      </c>
      <c r="F572" s="18"/>
      <c r="G572" s="22">
        <v>-1.49E-2</v>
      </c>
    </row>
    <row r="573" spans="1:7" x14ac:dyDescent="0.3">
      <c r="A573" s="54">
        <v>44677</v>
      </c>
      <c r="B573" s="45">
        <v>22899.02</v>
      </c>
      <c r="C573" s="45">
        <v>22899.02</v>
      </c>
      <c r="D573" s="45">
        <v>22899.02</v>
      </c>
      <c r="E573" s="45">
        <v>22899.02</v>
      </c>
      <c r="F573" s="18"/>
      <c r="G573" s="22">
        <v>1.54E-2</v>
      </c>
    </row>
    <row r="574" spans="1:7" x14ac:dyDescent="0.3">
      <c r="A574" s="54">
        <v>44678</v>
      </c>
      <c r="B574" s="45">
        <v>22680.26</v>
      </c>
      <c r="C574" s="45">
        <v>22680.26</v>
      </c>
      <c r="D574" s="45">
        <v>22680.26</v>
      </c>
      <c r="E574" s="45">
        <v>22680.26</v>
      </c>
      <c r="F574" s="18"/>
      <c r="G574" s="22">
        <v>-9.5999999999999992E-3</v>
      </c>
    </row>
    <row r="575" spans="1:7" x14ac:dyDescent="0.3">
      <c r="A575" s="54">
        <v>44679</v>
      </c>
      <c r="B575" s="45">
        <v>22926.74</v>
      </c>
      <c r="C575" s="45">
        <v>22926.74</v>
      </c>
      <c r="D575" s="45">
        <v>22926.74</v>
      </c>
      <c r="E575" s="45">
        <v>22926.74</v>
      </c>
      <c r="F575" s="18"/>
      <c r="G575" s="22">
        <v>1.09E-2</v>
      </c>
    </row>
    <row r="576" spans="1:7" x14ac:dyDescent="0.3">
      <c r="A576" s="54">
        <v>44680</v>
      </c>
      <c r="B576" s="45">
        <v>22726.01</v>
      </c>
      <c r="C576" s="45">
        <v>22726.01</v>
      </c>
      <c r="D576" s="45">
        <v>22726.01</v>
      </c>
      <c r="E576" s="45">
        <v>22726.01</v>
      </c>
      <c r="F576" s="18"/>
      <c r="G576" s="22">
        <v>-8.8000000000000005E-3</v>
      </c>
    </row>
    <row r="577" spans="1:7" x14ac:dyDescent="0.3">
      <c r="A577" s="54">
        <v>44683</v>
      </c>
      <c r="B577" s="45">
        <v>22653.68</v>
      </c>
      <c r="C577" s="45">
        <v>22653.68</v>
      </c>
      <c r="D577" s="45">
        <v>22653.68</v>
      </c>
      <c r="E577" s="45">
        <v>22653.68</v>
      </c>
      <c r="F577" s="18"/>
      <c r="G577" s="22">
        <v>-3.2000000000000002E-3</v>
      </c>
    </row>
    <row r="578" spans="1:7" x14ac:dyDescent="0.3">
      <c r="A578" s="54">
        <v>44685</v>
      </c>
      <c r="B578" s="45">
        <v>22126.53</v>
      </c>
      <c r="C578" s="45">
        <v>22126.53</v>
      </c>
      <c r="D578" s="45">
        <v>22126.53</v>
      </c>
      <c r="E578" s="45">
        <v>22126.53</v>
      </c>
      <c r="F578" s="18"/>
      <c r="G578" s="22">
        <v>-2.3300000000000001E-2</v>
      </c>
    </row>
    <row r="579" spans="1:7" x14ac:dyDescent="0.3">
      <c r="A579" s="54">
        <v>44686</v>
      </c>
      <c r="B579" s="45">
        <v>22130.39</v>
      </c>
      <c r="C579" s="45">
        <v>22130.39</v>
      </c>
      <c r="D579" s="45">
        <v>22130.39</v>
      </c>
      <c r="E579" s="45">
        <v>22130.39</v>
      </c>
      <c r="F579" s="18"/>
      <c r="G579" s="22">
        <v>2.0000000000000001E-4</v>
      </c>
    </row>
    <row r="580" spans="1:7" x14ac:dyDescent="0.3">
      <c r="A580" s="54">
        <v>44687</v>
      </c>
      <c r="B580" s="45">
        <v>21746.45</v>
      </c>
      <c r="C580" s="45">
        <v>21746.45</v>
      </c>
      <c r="D580" s="45">
        <v>21746.45</v>
      </c>
      <c r="E580" s="45">
        <v>21746.45</v>
      </c>
      <c r="F580" s="18"/>
      <c r="G580" s="22">
        <v>-1.7299999999999999E-2</v>
      </c>
    </row>
    <row r="581" spans="1:7" x14ac:dyDescent="0.3">
      <c r="A581" s="54">
        <v>44690</v>
      </c>
      <c r="B581" s="45">
        <v>21509.71</v>
      </c>
      <c r="C581" s="45">
        <v>21509.71</v>
      </c>
      <c r="D581" s="45">
        <v>21509.71</v>
      </c>
      <c r="E581" s="45">
        <v>21509.71</v>
      </c>
      <c r="F581" s="18"/>
      <c r="G581" s="22">
        <v>-1.09E-2</v>
      </c>
    </row>
    <row r="582" spans="1:7" x14ac:dyDescent="0.3">
      <c r="A582" s="54">
        <v>44691</v>
      </c>
      <c r="B582" s="45">
        <v>21301.05</v>
      </c>
      <c r="C582" s="45">
        <v>21301.05</v>
      </c>
      <c r="D582" s="45">
        <v>21301.05</v>
      </c>
      <c r="E582" s="45">
        <v>21301.05</v>
      </c>
      <c r="F582" s="18"/>
      <c r="G582" s="22">
        <v>-9.7000000000000003E-3</v>
      </c>
    </row>
    <row r="583" spans="1:7" x14ac:dyDescent="0.3">
      <c r="A583" s="54">
        <v>44692</v>
      </c>
      <c r="B583" s="45">
        <v>21171.75</v>
      </c>
      <c r="C583" s="45">
        <v>21171.75</v>
      </c>
      <c r="D583" s="45">
        <v>21171.75</v>
      </c>
      <c r="E583" s="45">
        <v>21171.75</v>
      </c>
      <c r="F583" s="18"/>
      <c r="G583" s="22">
        <v>-6.1000000000000004E-3</v>
      </c>
    </row>
    <row r="584" spans="1:7" x14ac:dyDescent="0.3">
      <c r="A584" s="54">
        <v>44693</v>
      </c>
      <c r="B584" s="45">
        <v>20714.03</v>
      </c>
      <c r="C584" s="45">
        <v>20714.03</v>
      </c>
      <c r="D584" s="45">
        <v>20714.03</v>
      </c>
      <c r="E584" s="45">
        <v>20714.03</v>
      </c>
      <c r="F584" s="18"/>
      <c r="G584" s="22">
        <v>-2.1600000000000001E-2</v>
      </c>
    </row>
    <row r="585" spans="1:7" x14ac:dyDescent="0.3">
      <c r="A585" s="54">
        <v>44694</v>
      </c>
      <c r="B585" s="45">
        <v>20723.68</v>
      </c>
      <c r="C585" s="45">
        <v>20723.68</v>
      </c>
      <c r="D585" s="45">
        <v>20723.68</v>
      </c>
      <c r="E585" s="45">
        <v>20723.68</v>
      </c>
      <c r="F585" s="18"/>
      <c r="G585" s="22">
        <v>5.0000000000000001E-4</v>
      </c>
    </row>
    <row r="586" spans="1:7" x14ac:dyDescent="0.3">
      <c r="A586" s="54">
        <v>44697</v>
      </c>
      <c r="B586" s="45">
        <v>20877.04</v>
      </c>
      <c r="C586" s="45">
        <v>20877.04</v>
      </c>
      <c r="D586" s="45">
        <v>20877.04</v>
      </c>
      <c r="E586" s="45">
        <v>20877.04</v>
      </c>
      <c r="F586" s="18"/>
      <c r="G586" s="22">
        <v>7.4000000000000003E-3</v>
      </c>
    </row>
    <row r="587" spans="1:7" x14ac:dyDescent="0.3">
      <c r="A587" s="54">
        <v>44698</v>
      </c>
      <c r="B587" s="45">
        <v>21423.03</v>
      </c>
      <c r="C587" s="45">
        <v>21423.03</v>
      </c>
      <c r="D587" s="45">
        <v>21423.03</v>
      </c>
      <c r="E587" s="45">
        <v>21423.03</v>
      </c>
      <c r="F587" s="18"/>
      <c r="G587" s="22">
        <v>2.6200000000000001E-2</v>
      </c>
    </row>
    <row r="588" spans="1:7" x14ac:dyDescent="0.3">
      <c r="A588" s="54">
        <v>44699</v>
      </c>
      <c r="B588" s="45">
        <v>21410.98</v>
      </c>
      <c r="C588" s="45">
        <v>21410.98</v>
      </c>
      <c r="D588" s="45">
        <v>21410.98</v>
      </c>
      <c r="E588" s="45">
        <v>21410.98</v>
      </c>
      <c r="F588" s="18"/>
      <c r="G588" s="22">
        <v>-5.9999999999999995E-4</v>
      </c>
    </row>
    <row r="589" spans="1:7" x14ac:dyDescent="0.3">
      <c r="A589" s="54">
        <v>44700</v>
      </c>
      <c r="B589" s="45">
        <v>20845.900000000001</v>
      </c>
      <c r="C589" s="45">
        <v>20845.900000000001</v>
      </c>
      <c r="D589" s="45">
        <v>20845.900000000001</v>
      </c>
      <c r="E589" s="45">
        <v>20845.900000000001</v>
      </c>
      <c r="F589" s="18"/>
      <c r="G589" s="22">
        <v>-2.64E-2</v>
      </c>
    </row>
    <row r="590" spans="1:7" x14ac:dyDescent="0.3">
      <c r="A590" s="54">
        <v>44701</v>
      </c>
      <c r="B590" s="45">
        <v>21375.43</v>
      </c>
      <c r="C590" s="45">
        <v>21375.43</v>
      </c>
      <c r="D590" s="45">
        <v>21375.43</v>
      </c>
      <c r="E590" s="45">
        <v>21375.43</v>
      </c>
      <c r="F590" s="18"/>
      <c r="G590" s="22">
        <v>2.5399999999999999E-2</v>
      </c>
    </row>
    <row r="591" spans="1:7" x14ac:dyDescent="0.3">
      <c r="A591" s="54">
        <v>44704</v>
      </c>
      <c r="B591" s="45">
        <v>21284.62</v>
      </c>
      <c r="C591" s="45">
        <v>21284.62</v>
      </c>
      <c r="D591" s="45">
        <v>21284.62</v>
      </c>
      <c r="E591" s="45">
        <v>21284.62</v>
      </c>
      <c r="F591" s="18"/>
      <c r="G591" s="22">
        <v>-4.1999999999999997E-3</v>
      </c>
    </row>
    <row r="592" spans="1:7" x14ac:dyDescent="0.3">
      <c r="A592" s="54">
        <v>44705</v>
      </c>
      <c r="B592" s="45">
        <v>21148.400000000001</v>
      </c>
      <c r="C592" s="45">
        <v>21148.400000000001</v>
      </c>
      <c r="D592" s="45">
        <v>21148.400000000001</v>
      </c>
      <c r="E592" s="45">
        <v>21148.400000000001</v>
      </c>
      <c r="F592" s="18"/>
      <c r="G592" s="22">
        <v>-6.4000000000000003E-3</v>
      </c>
    </row>
    <row r="593" spans="1:7" x14ac:dyDescent="0.3">
      <c r="A593" s="54">
        <v>44706</v>
      </c>
      <c r="B593" s="45">
        <v>20912.97</v>
      </c>
      <c r="C593" s="45">
        <v>20912.97</v>
      </c>
      <c r="D593" s="45">
        <v>20912.97</v>
      </c>
      <c r="E593" s="45">
        <v>20912.97</v>
      </c>
      <c r="F593" s="18"/>
      <c r="G593" s="22">
        <v>-1.11E-2</v>
      </c>
    </row>
    <row r="594" spans="1:7" x14ac:dyDescent="0.3">
      <c r="A594" s="54">
        <v>44707</v>
      </c>
      <c r="B594" s="45">
        <v>21131.35</v>
      </c>
      <c r="C594" s="45">
        <v>21131.35</v>
      </c>
      <c r="D594" s="45">
        <v>21131.35</v>
      </c>
      <c r="E594" s="45">
        <v>21131.35</v>
      </c>
      <c r="F594" s="18"/>
      <c r="G594" s="22">
        <v>1.04E-2</v>
      </c>
    </row>
    <row r="595" spans="1:7" x14ac:dyDescent="0.3">
      <c r="A595" s="54">
        <v>44708</v>
      </c>
      <c r="B595" s="45">
        <v>21363.35</v>
      </c>
      <c r="C595" s="45">
        <v>21363.35</v>
      </c>
      <c r="D595" s="45">
        <v>21363.35</v>
      </c>
      <c r="E595" s="45">
        <v>21363.35</v>
      </c>
      <c r="F595" s="18"/>
      <c r="G595" s="22">
        <v>1.0999999999999999E-2</v>
      </c>
    </row>
    <row r="596" spans="1:7" x14ac:dyDescent="0.3">
      <c r="A596" s="54">
        <v>44711</v>
      </c>
      <c r="B596" s="45">
        <v>21797.25</v>
      </c>
      <c r="C596" s="45">
        <v>21797.25</v>
      </c>
      <c r="D596" s="45">
        <v>21797.25</v>
      </c>
      <c r="E596" s="45">
        <v>21797.25</v>
      </c>
      <c r="F596" s="18"/>
      <c r="G596" s="22">
        <v>2.0299999999999999E-2</v>
      </c>
    </row>
    <row r="597" spans="1:7" x14ac:dyDescent="0.3">
      <c r="A597" s="54">
        <v>44712</v>
      </c>
      <c r="B597" s="45">
        <v>21765.82</v>
      </c>
      <c r="C597" s="45">
        <v>21765.82</v>
      </c>
      <c r="D597" s="45">
        <v>21765.82</v>
      </c>
      <c r="E597" s="45">
        <v>21765.82</v>
      </c>
      <c r="F597" s="18"/>
      <c r="G597" s="22">
        <v>-1.4E-3</v>
      </c>
    </row>
    <row r="598" spans="1:7" x14ac:dyDescent="0.3">
      <c r="A598" s="54">
        <v>44713</v>
      </c>
      <c r="B598" s="45">
        <v>21709.49</v>
      </c>
      <c r="C598" s="45">
        <v>21709.49</v>
      </c>
      <c r="D598" s="45">
        <v>21709.49</v>
      </c>
      <c r="E598" s="45">
        <v>21709.49</v>
      </c>
      <c r="F598" s="18"/>
      <c r="G598" s="22">
        <v>-2.5999999999999999E-3</v>
      </c>
    </row>
    <row r="599" spans="1:7" x14ac:dyDescent="0.3">
      <c r="A599" s="54">
        <v>44714</v>
      </c>
      <c r="B599" s="45">
        <v>21841.16</v>
      </c>
      <c r="C599" s="45">
        <v>21841.16</v>
      </c>
      <c r="D599" s="45">
        <v>21841.16</v>
      </c>
      <c r="E599" s="45">
        <v>21841.16</v>
      </c>
      <c r="F599" s="18"/>
      <c r="G599" s="22">
        <v>6.1000000000000004E-3</v>
      </c>
    </row>
    <row r="600" spans="1:7" x14ac:dyDescent="0.3">
      <c r="A600" s="54">
        <v>44715</v>
      </c>
      <c r="B600" s="45">
        <v>21702.58</v>
      </c>
      <c r="C600" s="45">
        <v>21702.58</v>
      </c>
      <c r="D600" s="45">
        <v>21702.58</v>
      </c>
      <c r="E600" s="45">
        <v>21702.58</v>
      </c>
      <c r="F600" s="18"/>
      <c r="G600" s="22">
        <v>-6.3E-3</v>
      </c>
    </row>
    <row r="601" spans="1:7" x14ac:dyDescent="0.3">
      <c r="A601" s="54">
        <v>44718</v>
      </c>
      <c r="B601" s="45">
        <v>21666.17</v>
      </c>
      <c r="C601" s="45">
        <v>21666.17</v>
      </c>
      <c r="D601" s="45">
        <v>21666.17</v>
      </c>
      <c r="E601" s="45">
        <v>21666.17</v>
      </c>
      <c r="F601" s="18"/>
      <c r="G601" s="22">
        <v>-1.6999999999999999E-3</v>
      </c>
    </row>
    <row r="602" spans="1:7" x14ac:dyDescent="0.3">
      <c r="A602" s="54">
        <v>44719</v>
      </c>
      <c r="B602" s="45">
        <v>21483.599999999999</v>
      </c>
      <c r="C602" s="45">
        <v>21483.599999999999</v>
      </c>
      <c r="D602" s="45">
        <v>21483.599999999999</v>
      </c>
      <c r="E602" s="45">
        <v>21483.599999999999</v>
      </c>
      <c r="F602" s="18"/>
      <c r="G602" s="22">
        <v>-8.3999999999999995E-3</v>
      </c>
    </row>
    <row r="603" spans="1:7" x14ac:dyDescent="0.3">
      <c r="A603" s="54">
        <v>44720</v>
      </c>
      <c r="B603" s="45">
        <v>21483.599999999999</v>
      </c>
      <c r="C603" s="45">
        <v>21483.599999999999</v>
      </c>
      <c r="D603" s="45">
        <v>21483.599999999999</v>
      </c>
      <c r="E603" s="45">
        <v>21483.599999999999</v>
      </c>
      <c r="F603" s="18"/>
      <c r="G603" s="22">
        <v>0</v>
      </c>
    </row>
    <row r="604" spans="1:7" x14ac:dyDescent="0.3">
      <c r="A604" s="54">
        <v>44721</v>
      </c>
      <c r="B604" s="45">
        <v>21551</v>
      </c>
      <c r="C604" s="45">
        <v>21551</v>
      </c>
      <c r="D604" s="45">
        <v>21551</v>
      </c>
      <c r="E604" s="45">
        <v>21551</v>
      </c>
      <c r="F604" s="18"/>
      <c r="G604" s="22">
        <v>3.0999999999999999E-3</v>
      </c>
    </row>
    <row r="605" spans="1:7" x14ac:dyDescent="0.3">
      <c r="A605" s="54">
        <v>44722</v>
      </c>
      <c r="B605" s="45">
        <v>21250.32</v>
      </c>
      <c r="C605" s="45">
        <v>21250.32</v>
      </c>
      <c r="D605" s="45">
        <v>21250.32</v>
      </c>
      <c r="E605" s="45">
        <v>21250.32</v>
      </c>
      <c r="F605" s="18"/>
      <c r="G605" s="22">
        <v>-1.4E-2</v>
      </c>
    </row>
    <row r="606" spans="1:7" x14ac:dyDescent="0.3">
      <c r="A606" s="54">
        <v>44725</v>
      </c>
      <c r="B606" s="45">
        <v>20687.8</v>
      </c>
      <c r="C606" s="45">
        <v>20687.8</v>
      </c>
      <c r="D606" s="45">
        <v>20687.8</v>
      </c>
      <c r="E606" s="45">
        <v>20687.8</v>
      </c>
      <c r="F606" s="18"/>
      <c r="G606" s="22">
        <v>-2.6499999999999999E-2</v>
      </c>
    </row>
    <row r="607" spans="1:7" x14ac:dyDescent="0.3">
      <c r="A607" s="54">
        <v>44726</v>
      </c>
      <c r="B607" s="45">
        <v>20644.23</v>
      </c>
      <c r="C607" s="45">
        <v>20644.23</v>
      </c>
      <c r="D607" s="45">
        <v>20644.23</v>
      </c>
      <c r="E607" s="45">
        <v>20644.23</v>
      </c>
      <c r="F607" s="18"/>
      <c r="G607" s="22">
        <v>-2.0999999999999999E-3</v>
      </c>
    </row>
    <row r="608" spans="1:7" x14ac:dyDescent="0.3">
      <c r="A608" s="54">
        <v>44727</v>
      </c>
      <c r="B608" s="45">
        <v>20646.77</v>
      </c>
      <c r="C608" s="45">
        <v>20646.77</v>
      </c>
      <c r="D608" s="45">
        <v>20646.77</v>
      </c>
      <c r="E608" s="45">
        <v>20646.77</v>
      </c>
      <c r="F608" s="18"/>
      <c r="G608" s="22">
        <v>1E-4</v>
      </c>
    </row>
    <row r="609" spans="1:7" x14ac:dyDescent="0.3">
      <c r="A609" s="54">
        <v>44728</v>
      </c>
      <c r="B609" s="45">
        <v>20197</v>
      </c>
      <c r="C609" s="45">
        <v>20197</v>
      </c>
      <c r="D609" s="45">
        <v>20197</v>
      </c>
      <c r="E609" s="45">
        <v>20197</v>
      </c>
      <c r="F609" s="18"/>
      <c r="G609" s="22">
        <v>-2.18E-2</v>
      </c>
    </row>
    <row r="610" spans="1:7" x14ac:dyDescent="0.3">
      <c r="A610" s="54">
        <v>44729</v>
      </c>
      <c r="B610" s="45">
        <v>20052.330000000002</v>
      </c>
      <c r="C610" s="45">
        <v>20052.330000000002</v>
      </c>
      <c r="D610" s="45">
        <v>20052.330000000002</v>
      </c>
      <c r="E610" s="45">
        <v>20052.330000000002</v>
      </c>
      <c r="F610" s="18"/>
      <c r="G610" s="22">
        <v>-7.1999999999999998E-3</v>
      </c>
    </row>
    <row r="611" spans="1:7" x14ac:dyDescent="0.3">
      <c r="A611" s="54">
        <v>44732</v>
      </c>
      <c r="B611" s="45">
        <v>19985.84</v>
      </c>
      <c r="C611" s="45">
        <v>19985.84</v>
      </c>
      <c r="D611" s="45">
        <v>19985.84</v>
      </c>
      <c r="E611" s="45">
        <v>19985.84</v>
      </c>
      <c r="F611" s="18"/>
      <c r="G611" s="22">
        <v>-3.3E-3</v>
      </c>
    </row>
    <row r="612" spans="1:7" x14ac:dyDescent="0.3">
      <c r="A612" s="54">
        <v>44733</v>
      </c>
      <c r="B612" s="45">
        <v>20435.5</v>
      </c>
      <c r="C612" s="45">
        <v>20435.5</v>
      </c>
      <c r="D612" s="45">
        <v>20435.5</v>
      </c>
      <c r="E612" s="45">
        <v>20435.5</v>
      </c>
      <c r="F612" s="18"/>
      <c r="G612" s="22">
        <v>2.2499999999999999E-2</v>
      </c>
    </row>
    <row r="613" spans="1:7" x14ac:dyDescent="0.3">
      <c r="A613" s="54">
        <v>44734</v>
      </c>
      <c r="B613" s="45">
        <v>20136.400000000001</v>
      </c>
      <c r="C613" s="45">
        <v>20136.400000000001</v>
      </c>
      <c r="D613" s="45">
        <v>20136.400000000001</v>
      </c>
      <c r="E613" s="45">
        <v>20136.400000000001</v>
      </c>
      <c r="F613" s="18"/>
      <c r="G613" s="22">
        <v>-1.46E-2</v>
      </c>
    </row>
    <row r="614" spans="1:7" x14ac:dyDescent="0.3">
      <c r="A614" s="54">
        <v>44735</v>
      </c>
      <c r="B614" s="45">
        <v>20339.150000000001</v>
      </c>
      <c r="C614" s="45">
        <v>20339.150000000001</v>
      </c>
      <c r="D614" s="45">
        <v>20339.150000000001</v>
      </c>
      <c r="E614" s="45">
        <v>20339.150000000001</v>
      </c>
      <c r="F614" s="18"/>
      <c r="G614" s="22">
        <v>1.01E-2</v>
      </c>
    </row>
    <row r="615" spans="1:7" x14ac:dyDescent="0.3">
      <c r="A615" s="54">
        <v>44736</v>
      </c>
      <c r="B615" s="45">
        <v>20561.02</v>
      </c>
      <c r="C615" s="45">
        <v>20561.02</v>
      </c>
      <c r="D615" s="45">
        <v>20561.02</v>
      </c>
      <c r="E615" s="45">
        <v>20561.02</v>
      </c>
      <c r="F615" s="18"/>
      <c r="G615" s="22">
        <v>1.09E-2</v>
      </c>
    </row>
    <row r="616" spans="1:7" x14ac:dyDescent="0.3">
      <c r="A616" s="54">
        <v>44739</v>
      </c>
      <c r="B616" s="45">
        <v>20749.400000000001</v>
      </c>
      <c r="C616" s="45">
        <v>20749.400000000001</v>
      </c>
      <c r="D616" s="45">
        <v>20749.400000000001</v>
      </c>
      <c r="E616" s="45">
        <v>20749.400000000001</v>
      </c>
      <c r="F616" s="18"/>
      <c r="G616" s="22">
        <v>9.1999999999999998E-3</v>
      </c>
    </row>
    <row r="617" spans="1:7" x14ac:dyDescent="0.3">
      <c r="A617" s="54">
        <v>44740</v>
      </c>
      <c r="B617" s="45">
        <v>20779.919999999998</v>
      </c>
      <c r="C617" s="45">
        <v>20779.919999999998</v>
      </c>
      <c r="D617" s="45">
        <v>20779.919999999998</v>
      </c>
      <c r="E617" s="45">
        <v>20779.919999999998</v>
      </c>
      <c r="F617" s="18"/>
      <c r="G617" s="22">
        <v>1.5E-3</v>
      </c>
    </row>
    <row r="618" spans="1:7" x14ac:dyDescent="0.3">
      <c r="A618" s="54">
        <v>44741</v>
      </c>
      <c r="B618" s="45">
        <v>20708.330000000002</v>
      </c>
      <c r="C618" s="45">
        <v>20708.330000000002</v>
      </c>
      <c r="D618" s="45">
        <v>20708.330000000002</v>
      </c>
      <c r="E618" s="45">
        <v>20708.330000000002</v>
      </c>
      <c r="F618" s="18"/>
      <c r="G618" s="22">
        <v>-3.3999999999999998E-3</v>
      </c>
    </row>
    <row r="619" spans="1:7" x14ac:dyDescent="0.3">
      <c r="A619" s="54">
        <v>44742</v>
      </c>
      <c r="B619" s="45">
        <v>20667.27</v>
      </c>
      <c r="C619" s="45">
        <v>20667.27</v>
      </c>
      <c r="D619" s="45">
        <v>20667.27</v>
      </c>
      <c r="E619" s="45">
        <v>20667.27</v>
      </c>
      <c r="F619" s="18"/>
      <c r="G619" s="22">
        <v>-2E-3</v>
      </c>
    </row>
    <row r="620" spans="1:7" x14ac:dyDescent="0.3">
      <c r="A620" s="54">
        <v>44743</v>
      </c>
      <c r="B620" s="45">
        <v>20678.080000000002</v>
      </c>
      <c r="C620" s="45">
        <v>20678.080000000002</v>
      </c>
      <c r="D620" s="45">
        <v>20678.080000000002</v>
      </c>
      <c r="E620" s="45">
        <v>20678.080000000002</v>
      </c>
      <c r="F620" s="18"/>
      <c r="G620" s="22">
        <v>5.0000000000000001E-4</v>
      </c>
    </row>
    <row r="621" spans="1:7" x14ac:dyDescent="0.3">
      <c r="A621" s="54">
        <v>44746</v>
      </c>
      <c r="B621" s="45">
        <v>20802.77</v>
      </c>
      <c r="C621" s="45">
        <v>20802.77</v>
      </c>
      <c r="D621" s="45">
        <v>20802.77</v>
      </c>
      <c r="E621" s="45">
        <v>20802.77</v>
      </c>
      <c r="F621" s="18"/>
      <c r="G621" s="22">
        <v>6.0000000000000001E-3</v>
      </c>
    </row>
    <row r="622" spans="1:7" x14ac:dyDescent="0.3">
      <c r="A622" s="54">
        <v>44747</v>
      </c>
      <c r="B622" s="45">
        <v>20787.259999999998</v>
      </c>
      <c r="C622" s="45">
        <v>20787.259999999998</v>
      </c>
      <c r="D622" s="45">
        <v>20787.259999999998</v>
      </c>
      <c r="E622" s="45">
        <v>20787.259999999998</v>
      </c>
      <c r="F622" s="18"/>
      <c r="G622" s="22">
        <v>-6.9999999999999999E-4</v>
      </c>
    </row>
    <row r="623" spans="1:7" x14ac:dyDescent="0.3">
      <c r="A623" s="54">
        <v>44748</v>
      </c>
      <c r="B623" s="45">
        <v>21048.95</v>
      </c>
      <c r="C623" s="45">
        <v>21048.95</v>
      </c>
      <c r="D623" s="45">
        <v>21048.95</v>
      </c>
      <c r="E623" s="45">
        <v>21048.95</v>
      </c>
      <c r="F623" s="18"/>
      <c r="G623" s="22">
        <v>1.26E-2</v>
      </c>
    </row>
    <row r="624" spans="1:7" x14ac:dyDescent="0.3">
      <c r="A624" s="54">
        <v>44749</v>
      </c>
      <c r="B624" s="45">
        <v>21257.79</v>
      </c>
      <c r="C624" s="45">
        <v>21257.79</v>
      </c>
      <c r="D624" s="45">
        <v>21257.79</v>
      </c>
      <c r="E624" s="45">
        <v>21257.79</v>
      </c>
      <c r="F624" s="18"/>
      <c r="G624" s="22">
        <v>9.9000000000000008E-3</v>
      </c>
    </row>
    <row r="625" spans="1:7" x14ac:dyDescent="0.3">
      <c r="A625" s="54">
        <v>44750</v>
      </c>
      <c r="B625" s="45">
        <v>21355.42</v>
      </c>
      <c r="C625" s="45">
        <v>21355.42</v>
      </c>
      <c r="D625" s="45">
        <v>21355.42</v>
      </c>
      <c r="E625" s="45">
        <v>21355.42</v>
      </c>
      <c r="F625" s="18"/>
      <c r="G625" s="22">
        <v>4.5999999999999999E-3</v>
      </c>
    </row>
    <row r="626" spans="1:7" x14ac:dyDescent="0.3">
      <c r="A626" s="54">
        <v>44753</v>
      </c>
      <c r="B626" s="45">
        <v>21446.79</v>
      </c>
      <c r="C626" s="45">
        <v>21446.79</v>
      </c>
      <c r="D626" s="45">
        <v>21446.79</v>
      </c>
      <c r="E626" s="45">
        <v>21446.79</v>
      </c>
      <c r="F626" s="18"/>
      <c r="G626" s="22">
        <v>4.3E-3</v>
      </c>
    </row>
    <row r="627" spans="1:7" x14ac:dyDescent="0.3">
      <c r="A627" s="54">
        <v>44754</v>
      </c>
      <c r="B627" s="45">
        <v>21281.05</v>
      </c>
      <c r="C627" s="45">
        <v>21281.05</v>
      </c>
      <c r="D627" s="45">
        <v>21281.05</v>
      </c>
      <c r="E627" s="45">
        <v>21281.05</v>
      </c>
      <c r="F627" s="18"/>
      <c r="G627" s="22">
        <v>-7.7000000000000002E-3</v>
      </c>
    </row>
    <row r="628" spans="1:7" x14ac:dyDescent="0.3">
      <c r="A628" s="54">
        <v>44755</v>
      </c>
      <c r="B628" s="45">
        <v>21200.87</v>
      </c>
      <c r="C628" s="45">
        <v>21200.87</v>
      </c>
      <c r="D628" s="45">
        <v>21200.87</v>
      </c>
      <c r="E628" s="45">
        <v>21200.87</v>
      </c>
      <c r="F628" s="18"/>
      <c r="G628" s="22">
        <v>-3.8E-3</v>
      </c>
    </row>
    <row r="629" spans="1:7" x14ac:dyDescent="0.3">
      <c r="A629" s="54">
        <v>44756</v>
      </c>
      <c r="B629" s="45">
        <v>21171.19</v>
      </c>
      <c r="C629" s="45">
        <v>21171.19</v>
      </c>
      <c r="D629" s="45">
        <v>21171.19</v>
      </c>
      <c r="E629" s="45">
        <v>21171.19</v>
      </c>
      <c r="F629" s="18"/>
      <c r="G629" s="22">
        <v>-1.4E-3</v>
      </c>
    </row>
    <row r="630" spans="1:7" x14ac:dyDescent="0.3">
      <c r="A630" s="54">
        <v>44757</v>
      </c>
      <c r="B630" s="45">
        <v>21306.94</v>
      </c>
      <c r="C630" s="45">
        <v>21306.94</v>
      </c>
      <c r="D630" s="45">
        <v>21306.94</v>
      </c>
      <c r="E630" s="45">
        <v>21306.94</v>
      </c>
      <c r="F630" s="18"/>
      <c r="G630" s="22">
        <v>6.4000000000000003E-3</v>
      </c>
    </row>
    <row r="631" spans="1:7" x14ac:dyDescent="0.3">
      <c r="A631" s="54">
        <v>44760</v>
      </c>
      <c r="B631" s="45">
        <v>21606.99</v>
      </c>
      <c r="C631" s="45">
        <v>21606.99</v>
      </c>
      <c r="D631" s="45">
        <v>21606.99</v>
      </c>
      <c r="E631" s="45">
        <v>21606.99</v>
      </c>
      <c r="F631" s="18"/>
      <c r="G631" s="22">
        <v>1.41E-2</v>
      </c>
    </row>
    <row r="632" spans="1:7" x14ac:dyDescent="0.3">
      <c r="A632" s="54">
        <v>44761</v>
      </c>
      <c r="B632" s="45">
        <v>21714.15</v>
      </c>
      <c r="C632" s="45">
        <v>21714.15</v>
      </c>
      <c r="D632" s="45">
        <v>21714.15</v>
      </c>
      <c r="E632" s="45">
        <v>21714.15</v>
      </c>
      <c r="F632" s="18"/>
      <c r="G632" s="22">
        <v>5.0000000000000001E-3</v>
      </c>
    </row>
    <row r="633" spans="1:7" x14ac:dyDescent="0.3">
      <c r="A633" s="54">
        <v>44762</v>
      </c>
      <c r="B633" s="45">
        <v>21888.95</v>
      </c>
      <c r="C633" s="45">
        <v>21888.95</v>
      </c>
      <c r="D633" s="45">
        <v>21888.95</v>
      </c>
      <c r="E633" s="45">
        <v>21888.95</v>
      </c>
      <c r="F633" s="18"/>
      <c r="G633" s="22">
        <v>8.0000000000000002E-3</v>
      </c>
    </row>
    <row r="634" spans="1:7" x14ac:dyDescent="0.3">
      <c r="A634" s="54">
        <v>44763</v>
      </c>
      <c r="B634" s="45">
        <v>22064.83</v>
      </c>
      <c r="C634" s="45">
        <v>22064.83</v>
      </c>
      <c r="D634" s="45">
        <v>22064.83</v>
      </c>
      <c r="E634" s="45">
        <v>22064.83</v>
      </c>
      <c r="F634" s="18"/>
      <c r="G634" s="22">
        <v>8.0000000000000002E-3</v>
      </c>
    </row>
    <row r="635" spans="1:7" x14ac:dyDescent="0.3">
      <c r="A635" s="54">
        <v>44764</v>
      </c>
      <c r="B635" s="45">
        <v>22165.119999999999</v>
      </c>
      <c r="C635" s="45">
        <v>22165.119999999999</v>
      </c>
      <c r="D635" s="45">
        <v>22165.119999999999</v>
      </c>
      <c r="E635" s="45">
        <v>22165.119999999999</v>
      </c>
      <c r="F635" s="18"/>
      <c r="G635" s="22">
        <v>4.4999999999999997E-3</v>
      </c>
    </row>
    <row r="636" spans="1:7" x14ac:dyDescent="0.3">
      <c r="A636" s="54">
        <v>44767</v>
      </c>
      <c r="B636" s="45">
        <v>22077.13</v>
      </c>
      <c r="C636" s="45">
        <v>22077.13</v>
      </c>
      <c r="D636" s="45">
        <v>22077.13</v>
      </c>
      <c r="E636" s="45">
        <v>22077.13</v>
      </c>
      <c r="F636" s="18"/>
      <c r="G636" s="22">
        <v>-4.0000000000000001E-3</v>
      </c>
    </row>
    <row r="637" spans="1:7" x14ac:dyDescent="0.3">
      <c r="A637" s="54">
        <v>44768</v>
      </c>
      <c r="B637" s="45">
        <v>21864.15</v>
      </c>
      <c r="C637" s="45">
        <v>21864.15</v>
      </c>
      <c r="D637" s="45">
        <v>21864.15</v>
      </c>
      <c r="E637" s="45">
        <v>21864.15</v>
      </c>
      <c r="F637" s="18"/>
      <c r="G637" s="22">
        <v>-9.5999999999999992E-3</v>
      </c>
    </row>
    <row r="638" spans="1:7" x14ac:dyDescent="0.3">
      <c r="A638" s="54">
        <v>44769</v>
      </c>
      <c r="B638" s="45">
        <v>22053.68</v>
      </c>
      <c r="C638" s="45">
        <v>22053.68</v>
      </c>
      <c r="D638" s="45">
        <v>22053.68</v>
      </c>
      <c r="E638" s="45">
        <v>22053.68</v>
      </c>
      <c r="F638" s="18"/>
      <c r="G638" s="22">
        <v>8.6999999999999994E-3</v>
      </c>
    </row>
    <row r="639" spans="1:7" x14ac:dyDescent="0.3">
      <c r="A639" s="54">
        <v>44770</v>
      </c>
      <c r="B639" s="45">
        <v>22374.32</v>
      </c>
      <c r="C639" s="45">
        <v>22374.32</v>
      </c>
      <c r="D639" s="45">
        <v>22374.32</v>
      </c>
      <c r="E639" s="45">
        <v>22374.32</v>
      </c>
      <c r="F639" s="18"/>
      <c r="G639" s="22">
        <v>1.4500000000000001E-2</v>
      </c>
    </row>
    <row r="640" spans="1:7" x14ac:dyDescent="0.3">
      <c r="A640" s="54">
        <v>44771</v>
      </c>
      <c r="B640" s="45">
        <v>22678.29</v>
      </c>
      <c r="C640" s="45">
        <v>22678.29</v>
      </c>
      <c r="D640" s="45">
        <v>22678.29</v>
      </c>
      <c r="E640" s="45">
        <v>22678.29</v>
      </c>
      <c r="F640" s="18"/>
      <c r="G640" s="22">
        <v>1.3599999999999999E-2</v>
      </c>
    </row>
    <row r="641" spans="1:7" x14ac:dyDescent="0.3">
      <c r="A641" s="54">
        <v>44774</v>
      </c>
      <c r="B641" s="45">
        <v>22960.55</v>
      </c>
      <c r="C641" s="45">
        <v>22960.55</v>
      </c>
      <c r="D641" s="45">
        <v>22960.55</v>
      </c>
      <c r="E641" s="45">
        <v>22960.55</v>
      </c>
      <c r="F641" s="18"/>
      <c r="G641" s="22">
        <v>1.24E-2</v>
      </c>
    </row>
    <row r="642" spans="1:7" x14ac:dyDescent="0.3">
      <c r="A642" s="54">
        <v>44775</v>
      </c>
      <c r="B642" s="45">
        <v>23008.71</v>
      </c>
      <c r="C642" s="45">
        <v>23008.71</v>
      </c>
      <c r="D642" s="45">
        <v>23008.71</v>
      </c>
      <c r="E642" s="45">
        <v>23008.71</v>
      </c>
      <c r="F642" s="18"/>
      <c r="G642" s="22">
        <v>2.0999999999999999E-3</v>
      </c>
    </row>
    <row r="643" spans="1:7" x14ac:dyDescent="0.3">
      <c r="A643" s="54">
        <v>44776</v>
      </c>
      <c r="B643" s="45">
        <v>23012.66</v>
      </c>
      <c r="C643" s="45">
        <v>23012.66</v>
      </c>
      <c r="D643" s="45">
        <v>23012.66</v>
      </c>
      <c r="E643" s="45">
        <v>23012.66</v>
      </c>
      <c r="F643" s="18"/>
      <c r="G643" s="22">
        <v>2.0000000000000001E-4</v>
      </c>
    </row>
    <row r="644" spans="1:7" x14ac:dyDescent="0.3">
      <c r="A644" s="54">
        <v>44777</v>
      </c>
      <c r="B644" s="45">
        <v>23035.97</v>
      </c>
      <c r="C644" s="45">
        <v>23035.97</v>
      </c>
      <c r="D644" s="45">
        <v>23035.97</v>
      </c>
      <c r="E644" s="45">
        <v>23035.97</v>
      </c>
      <c r="F644" s="18"/>
      <c r="G644" s="22">
        <v>1E-3</v>
      </c>
    </row>
    <row r="645" spans="1:7" x14ac:dyDescent="0.3">
      <c r="A645" s="54">
        <v>44778</v>
      </c>
      <c r="B645" s="45">
        <v>23048.31</v>
      </c>
      <c r="C645" s="45">
        <v>23048.31</v>
      </c>
      <c r="D645" s="45">
        <v>23048.31</v>
      </c>
      <c r="E645" s="45">
        <v>23048.31</v>
      </c>
      <c r="F645" s="18"/>
      <c r="G645" s="22">
        <v>5.0000000000000001E-4</v>
      </c>
    </row>
    <row r="646" spans="1:7" x14ac:dyDescent="0.3">
      <c r="A646" s="54">
        <v>44781</v>
      </c>
      <c r="B646" s="45">
        <v>23199.97</v>
      </c>
      <c r="C646" s="45">
        <v>23199.97</v>
      </c>
      <c r="D646" s="45">
        <v>23199.97</v>
      </c>
      <c r="E646" s="45">
        <v>23199.97</v>
      </c>
      <c r="F646" s="18"/>
      <c r="G646" s="22">
        <v>6.6E-3</v>
      </c>
    </row>
    <row r="647" spans="1:7" x14ac:dyDescent="0.3">
      <c r="A647" s="54">
        <v>44783</v>
      </c>
      <c r="B647" s="45">
        <v>23191.7</v>
      </c>
      <c r="C647" s="45">
        <v>23191.7</v>
      </c>
      <c r="D647" s="45">
        <v>23191.7</v>
      </c>
      <c r="E647" s="45">
        <v>23191.7</v>
      </c>
      <c r="F647" s="18"/>
      <c r="G647" s="22">
        <v>-4.0000000000000002E-4</v>
      </c>
    </row>
    <row r="648" spans="1:7" x14ac:dyDescent="0.3">
      <c r="A648" s="54">
        <v>44784</v>
      </c>
      <c r="B648" s="45">
        <v>23369.29</v>
      </c>
      <c r="C648" s="45">
        <v>23369.29</v>
      </c>
      <c r="D648" s="45">
        <v>23369.29</v>
      </c>
      <c r="E648" s="45">
        <v>23369.29</v>
      </c>
      <c r="F648" s="18"/>
      <c r="G648" s="22">
        <v>7.7000000000000002E-3</v>
      </c>
    </row>
    <row r="649" spans="1:7" x14ac:dyDescent="0.3">
      <c r="A649" s="54">
        <v>44785</v>
      </c>
      <c r="B649" s="45">
        <v>23440.39</v>
      </c>
      <c r="C649" s="45">
        <v>23440.39</v>
      </c>
      <c r="D649" s="45">
        <v>23440.39</v>
      </c>
      <c r="E649" s="45">
        <v>23440.39</v>
      </c>
      <c r="F649" s="18"/>
      <c r="G649" s="22">
        <v>3.0000000000000001E-3</v>
      </c>
    </row>
    <row r="650" spans="1:7" x14ac:dyDescent="0.3">
      <c r="A650" s="54">
        <v>44789</v>
      </c>
      <c r="B650" s="45">
        <v>23657</v>
      </c>
      <c r="C650" s="45">
        <v>23657</v>
      </c>
      <c r="D650" s="45">
        <v>23657</v>
      </c>
      <c r="E650" s="45">
        <v>23657</v>
      </c>
      <c r="F650" s="18"/>
      <c r="G650" s="22">
        <v>9.1999999999999998E-3</v>
      </c>
    </row>
    <row r="651" spans="1:7" x14ac:dyDescent="0.3">
      <c r="A651" s="54">
        <v>44790</v>
      </c>
      <c r="B651" s="45">
        <v>23809.95</v>
      </c>
      <c r="C651" s="45">
        <v>23809.95</v>
      </c>
      <c r="D651" s="45">
        <v>23809.95</v>
      </c>
      <c r="E651" s="45">
        <v>23809.95</v>
      </c>
      <c r="F651" s="18"/>
      <c r="G651" s="22">
        <v>6.4999999999999997E-3</v>
      </c>
    </row>
    <row r="652" spans="1:7" x14ac:dyDescent="0.3">
      <c r="A652" s="54">
        <v>44791</v>
      </c>
      <c r="B652" s="45">
        <v>23858.77</v>
      </c>
      <c r="C652" s="45">
        <v>23858.77</v>
      </c>
      <c r="D652" s="45">
        <v>23858.77</v>
      </c>
      <c r="E652" s="45">
        <v>23858.77</v>
      </c>
      <c r="F652" s="18"/>
      <c r="G652" s="22">
        <v>2.0999999999999999E-3</v>
      </c>
    </row>
    <row r="653" spans="1:7" x14ac:dyDescent="0.3">
      <c r="A653" s="54">
        <v>44792</v>
      </c>
      <c r="B653" s="45">
        <v>23602.41</v>
      </c>
      <c r="C653" s="45">
        <v>23602.41</v>
      </c>
      <c r="D653" s="45">
        <v>23602.41</v>
      </c>
      <c r="E653" s="45">
        <v>23602.41</v>
      </c>
      <c r="F653" s="18"/>
      <c r="G653" s="22">
        <v>-1.0699999999999999E-2</v>
      </c>
    </row>
    <row r="654" spans="1:7" x14ac:dyDescent="0.3">
      <c r="A654" s="54">
        <v>44795</v>
      </c>
      <c r="B654" s="45">
        <v>23238.86</v>
      </c>
      <c r="C654" s="45">
        <v>23238.86</v>
      </c>
      <c r="D654" s="45">
        <v>23238.86</v>
      </c>
      <c r="E654" s="45">
        <v>23238.86</v>
      </c>
      <c r="F654" s="18"/>
      <c r="G654" s="22">
        <v>-1.54E-2</v>
      </c>
    </row>
    <row r="655" spans="1:7" x14ac:dyDescent="0.3">
      <c r="A655" s="54">
        <v>44796</v>
      </c>
      <c r="B655" s="45">
        <v>23376.55</v>
      </c>
      <c r="C655" s="45">
        <v>23376.55</v>
      </c>
      <c r="D655" s="45">
        <v>23376.55</v>
      </c>
      <c r="E655" s="45">
        <v>23376.55</v>
      </c>
      <c r="F655" s="18"/>
      <c r="G655" s="22">
        <v>5.8999999999999999E-3</v>
      </c>
    </row>
    <row r="656" spans="1:7" x14ac:dyDescent="0.3">
      <c r="A656" s="54">
        <v>44797</v>
      </c>
      <c r="B656" s="45">
        <v>23453.99</v>
      </c>
      <c r="C656" s="45">
        <v>23453.99</v>
      </c>
      <c r="D656" s="45">
        <v>23453.99</v>
      </c>
      <c r="E656" s="45">
        <v>23453.99</v>
      </c>
      <c r="F656" s="18"/>
      <c r="G656" s="22">
        <v>3.3E-3</v>
      </c>
    </row>
    <row r="657" spans="1:7" x14ac:dyDescent="0.3">
      <c r="A657" s="54">
        <v>44798</v>
      </c>
      <c r="B657" s="45">
        <v>23392.71</v>
      </c>
      <c r="C657" s="45">
        <v>23392.71</v>
      </c>
      <c r="D657" s="45">
        <v>23392.71</v>
      </c>
      <c r="E657" s="45">
        <v>23392.71</v>
      </c>
      <c r="F657" s="18"/>
      <c r="G657" s="22">
        <v>-2.5999999999999999E-3</v>
      </c>
    </row>
    <row r="658" spans="1:7" x14ac:dyDescent="0.3">
      <c r="A658" s="54">
        <v>44799</v>
      </c>
      <c r="B658" s="45">
        <v>23465.33</v>
      </c>
      <c r="C658" s="45">
        <v>23465.33</v>
      </c>
      <c r="D658" s="45">
        <v>23465.33</v>
      </c>
      <c r="E658" s="45">
        <v>23465.33</v>
      </c>
      <c r="F658" s="18"/>
      <c r="G658" s="22">
        <v>3.0999999999999999E-3</v>
      </c>
    </row>
    <row r="659" spans="1:7" x14ac:dyDescent="0.3">
      <c r="A659" s="54">
        <v>44802</v>
      </c>
      <c r="B659" s="45">
        <v>23194.58</v>
      </c>
      <c r="C659" s="45">
        <v>23194.58</v>
      </c>
      <c r="D659" s="45">
        <v>23194.58</v>
      </c>
      <c r="E659" s="45">
        <v>23194.58</v>
      </c>
      <c r="F659" s="18"/>
      <c r="G659" s="22">
        <v>-1.15E-2</v>
      </c>
    </row>
    <row r="660" spans="1:7" x14ac:dyDescent="0.3">
      <c r="A660" s="54">
        <v>44803</v>
      </c>
      <c r="B660" s="45">
        <v>23740.37</v>
      </c>
      <c r="C660" s="45">
        <v>23740.37</v>
      </c>
      <c r="D660" s="45">
        <v>23740.37</v>
      </c>
      <c r="E660" s="45">
        <v>23740.37</v>
      </c>
      <c r="F660" s="18"/>
      <c r="G660" s="22">
        <v>2.35E-2</v>
      </c>
    </row>
    <row r="661" spans="1:7" x14ac:dyDescent="0.3">
      <c r="A661" s="54">
        <v>44805</v>
      </c>
      <c r="B661" s="45">
        <v>23564.7</v>
      </c>
      <c r="C661" s="45">
        <v>23564.7</v>
      </c>
      <c r="D661" s="45">
        <v>23564.7</v>
      </c>
      <c r="E661" s="45">
        <v>23564.7</v>
      </c>
      <c r="F661" s="18"/>
      <c r="G661" s="22">
        <v>-7.4000000000000003E-3</v>
      </c>
    </row>
    <row r="662" spans="1:7" x14ac:dyDescent="0.3">
      <c r="A662" s="54">
        <v>44806</v>
      </c>
      <c r="B662" s="45">
        <v>23550.07</v>
      </c>
      <c r="C662" s="45">
        <v>23550.07</v>
      </c>
      <c r="D662" s="45">
        <v>23550.07</v>
      </c>
      <c r="E662" s="45">
        <v>23550.07</v>
      </c>
      <c r="F662" s="18"/>
      <c r="G662" s="22">
        <v>-5.9999999999999995E-4</v>
      </c>
    </row>
    <row r="663" spans="1:7" x14ac:dyDescent="0.3">
      <c r="A663" s="54">
        <v>44809</v>
      </c>
      <c r="B663" s="45">
        <v>23693.79</v>
      </c>
      <c r="C663" s="45">
        <v>23693.79</v>
      </c>
      <c r="D663" s="45">
        <v>23693.79</v>
      </c>
      <c r="E663" s="45">
        <v>23693.79</v>
      </c>
      <c r="F663" s="18"/>
      <c r="G663" s="22">
        <v>6.1000000000000004E-3</v>
      </c>
    </row>
    <row r="664" spans="1:7" x14ac:dyDescent="0.3">
      <c r="A664" s="54">
        <v>44810</v>
      </c>
      <c r="B664" s="45">
        <v>23722.71</v>
      </c>
      <c r="C664" s="45">
        <v>23722.71</v>
      </c>
      <c r="D664" s="45">
        <v>23722.71</v>
      </c>
      <c r="E664" s="45">
        <v>23722.71</v>
      </c>
      <c r="F664" s="18"/>
      <c r="G664" s="22">
        <v>1.1999999999999999E-3</v>
      </c>
    </row>
    <row r="665" spans="1:7" x14ac:dyDescent="0.3">
      <c r="A665" s="54">
        <v>44811</v>
      </c>
      <c r="B665" s="45">
        <v>23732.85</v>
      </c>
      <c r="C665" s="45">
        <v>23732.85</v>
      </c>
      <c r="D665" s="45">
        <v>23732.85</v>
      </c>
      <c r="E665" s="45">
        <v>23732.85</v>
      </c>
      <c r="F665" s="18"/>
      <c r="G665" s="22">
        <v>4.0000000000000002E-4</v>
      </c>
    </row>
    <row r="666" spans="1:7" x14ac:dyDescent="0.3">
      <c r="A666" s="54">
        <v>44812</v>
      </c>
      <c r="B666" s="45">
        <v>23921</v>
      </c>
      <c r="C666" s="45">
        <v>23921</v>
      </c>
      <c r="D666" s="45">
        <v>23921</v>
      </c>
      <c r="E666" s="45">
        <v>23921</v>
      </c>
      <c r="F666" s="18"/>
      <c r="G666" s="22">
        <v>7.9000000000000008E-3</v>
      </c>
    </row>
    <row r="667" spans="1:7" x14ac:dyDescent="0.3">
      <c r="A667" s="54">
        <v>44813</v>
      </c>
      <c r="B667" s="45">
        <v>23962.62</v>
      </c>
      <c r="C667" s="45">
        <v>23962.62</v>
      </c>
      <c r="D667" s="45">
        <v>23962.62</v>
      </c>
      <c r="E667" s="45">
        <v>23962.62</v>
      </c>
      <c r="F667" s="18"/>
      <c r="G667" s="22">
        <v>1.6999999999999999E-3</v>
      </c>
    </row>
    <row r="668" spans="1:7" x14ac:dyDescent="0.3">
      <c r="A668" s="54">
        <v>44816</v>
      </c>
      <c r="B668" s="45">
        <v>24133.13</v>
      </c>
      <c r="C668" s="45">
        <v>24133.13</v>
      </c>
      <c r="D668" s="45">
        <v>24133.13</v>
      </c>
      <c r="E668" s="45">
        <v>24133.13</v>
      </c>
      <c r="F668" s="18"/>
      <c r="G668" s="22">
        <v>7.1000000000000004E-3</v>
      </c>
    </row>
    <row r="669" spans="1:7" x14ac:dyDescent="0.3">
      <c r="A669" s="54">
        <v>44817</v>
      </c>
      <c r="B669" s="45">
        <v>24276.42</v>
      </c>
      <c r="C669" s="45">
        <v>24276.42</v>
      </c>
      <c r="D669" s="45">
        <v>24276.42</v>
      </c>
      <c r="E669" s="45">
        <v>24276.42</v>
      </c>
      <c r="F669" s="18"/>
      <c r="G669" s="22">
        <v>5.8999999999999999E-3</v>
      </c>
    </row>
    <row r="670" spans="1:7" x14ac:dyDescent="0.3">
      <c r="A670" s="54">
        <v>44818</v>
      </c>
      <c r="B670" s="45">
        <v>24215.82</v>
      </c>
      <c r="C670" s="45">
        <v>24215.82</v>
      </c>
      <c r="D670" s="45">
        <v>24215.82</v>
      </c>
      <c r="E670" s="45">
        <v>24215.82</v>
      </c>
      <c r="F670" s="18"/>
      <c r="G670" s="22">
        <v>-2.5000000000000001E-3</v>
      </c>
    </row>
    <row r="671" spans="1:7" x14ac:dyDescent="0.3">
      <c r="A671" s="54">
        <v>44819</v>
      </c>
      <c r="B671" s="45">
        <v>24139.94</v>
      </c>
      <c r="C671" s="45">
        <v>24139.94</v>
      </c>
      <c r="D671" s="45">
        <v>24139.94</v>
      </c>
      <c r="E671" s="45">
        <v>24139.94</v>
      </c>
      <c r="F671" s="18"/>
      <c r="G671" s="22">
        <v>-3.0999999999999999E-3</v>
      </c>
    </row>
    <row r="672" spans="1:7" x14ac:dyDescent="0.3">
      <c r="A672" s="54">
        <v>44820</v>
      </c>
      <c r="B672" s="45">
        <v>23618.75</v>
      </c>
      <c r="C672" s="45">
        <v>23618.75</v>
      </c>
      <c r="D672" s="45">
        <v>23618.75</v>
      </c>
      <c r="E672" s="45">
        <v>23618.75</v>
      </c>
      <c r="F672" s="18"/>
      <c r="G672" s="22">
        <v>-2.1600000000000001E-2</v>
      </c>
    </row>
    <row r="673" spans="1:7" x14ac:dyDescent="0.3">
      <c r="A673" s="54">
        <v>44823</v>
      </c>
      <c r="B673" s="45">
        <v>23696.71</v>
      </c>
      <c r="C673" s="45">
        <v>23696.71</v>
      </c>
      <c r="D673" s="45">
        <v>23696.71</v>
      </c>
      <c r="E673" s="45">
        <v>23696.71</v>
      </c>
      <c r="F673" s="18"/>
      <c r="G673" s="22">
        <v>3.3E-3</v>
      </c>
    </row>
    <row r="674" spans="1:7" x14ac:dyDescent="0.3">
      <c r="A674" s="54">
        <v>44824</v>
      </c>
      <c r="B674" s="45">
        <v>23971.119999999999</v>
      </c>
      <c r="C674" s="45">
        <v>23971.119999999999</v>
      </c>
      <c r="D674" s="45">
        <v>23971.119999999999</v>
      </c>
      <c r="E674" s="45">
        <v>23971.119999999999</v>
      </c>
      <c r="F674" s="18"/>
      <c r="G674" s="22">
        <v>1.1599999999999999E-2</v>
      </c>
    </row>
    <row r="675" spans="1:7" x14ac:dyDescent="0.3">
      <c r="A675" s="54">
        <v>44825</v>
      </c>
      <c r="B675" s="45">
        <v>23802.29</v>
      </c>
      <c r="C675" s="45">
        <v>23802.29</v>
      </c>
      <c r="D675" s="45">
        <v>23802.29</v>
      </c>
      <c r="E675" s="45">
        <v>23802.29</v>
      </c>
      <c r="F675" s="18"/>
      <c r="G675" s="22">
        <v>-7.0000000000000001E-3</v>
      </c>
    </row>
    <row r="676" spans="1:7" x14ac:dyDescent="0.3">
      <c r="A676" s="54">
        <v>44826</v>
      </c>
      <c r="B676" s="45">
        <v>23763.439999999999</v>
      </c>
      <c r="C676" s="45">
        <v>23763.439999999999</v>
      </c>
      <c r="D676" s="45">
        <v>23763.439999999999</v>
      </c>
      <c r="E676" s="45">
        <v>23763.439999999999</v>
      </c>
      <c r="F676" s="18"/>
      <c r="G676" s="22">
        <v>-1.6000000000000001E-3</v>
      </c>
    </row>
    <row r="677" spans="1:7" x14ac:dyDescent="0.3">
      <c r="A677" s="54">
        <v>44827</v>
      </c>
      <c r="B677" s="45">
        <v>23333.25</v>
      </c>
      <c r="C677" s="45">
        <v>23333.25</v>
      </c>
      <c r="D677" s="45">
        <v>23333.25</v>
      </c>
      <c r="E677" s="45">
        <v>23333.25</v>
      </c>
      <c r="F677" s="18"/>
      <c r="G677" s="22">
        <v>-1.8100000000000002E-2</v>
      </c>
    </row>
    <row r="678" spans="1:7" x14ac:dyDescent="0.3">
      <c r="A678" s="54">
        <v>44830</v>
      </c>
      <c r="B678" s="45">
        <v>22818.87</v>
      </c>
      <c r="C678" s="45">
        <v>22818.87</v>
      </c>
      <c r="D678" s="45">
        <v>22818.87</v>
      </c>
      <c r="E678" s="45">
        <v>22818.87</v>
      </c>
      <c r="F678" s="18"/>
      <c r="G678" s="22">
        <v>-2.1999999999999999E-2</v>
      </c>
    </row>
    <row r="679" spans="1:7" x14ac:dyDescent="0.3">
      <c r="A679" s="54">
        <v>44831</v>
      </c>
      <c r="B679" s="45">
        <v>22821.33</v>
      </c>
      <c r="C679" s="45">
        <v>22821.33</v>
      </c>
      <c r="D679" s="45">
        <v>22821.33</v>
      </c>
      <c r="E679" s="45">
        <v>22821.33</v>
      </c>
      <c r="F679" s="18"/>
      <c r="G679" s="22">
        <v>1E-4</v>
      </c>
    </row>
    <row r="680" spans="1:7" x14ac:dyDescent="0.3">
      <c r="A680" s="54">
        <v>44832</v>
      </c>
      <c r="B680" s="45">
        <v>22656</v>
      </c>
      <c r="C680" s="45">
        <v>22656</v>
      </c>
      <c r="D680" s="45">
        <v>22656</v>
      </c>
      <c r="E680" s="45">
        <v>22656</v>
      </c>
      <c r="F680" s="18"/>
      <c r="G680" s="22">
        <v>-7.1999999999999998E-3</v>
      </c>
    </row>
    <row r="681" spans="1:7" x14ac:dyDescent="0.3">
      <c r="A681" s="54">
        <v>44833</v>
      </c>
      <c r="B681" s="45">
        <v>22627.96</v>
      </c>
      <c r="C681" s="45">
        <v>22627.96</v>
      </c>
      <c r="D681" s="45">
        <v>22627.96</v>
      </c>
      <c r="E681" s="45">
        <v>22627.96</v>
      </c>
      <c r="F681" s="18"/>
      <c r="G681" s="22">
        <v>-1.1999999999999999E-3</v>
      </c>
    </row>
    <row r="682" spans="1:7" x14ac:dyDescent="0.3">
      <c r="A682" s="54">
        <v>44834</v>
      </c>
      <c r="B682" s="45">
        <v>22979.45</v>
      </c>
      <c r="C682" s="45">
        <v>22979.45</v>
      </c>
      <c r="D682" s="45">
        <v>22979.45</v>
      </c>
      <c r="E682" s="45">
        <v>22979.45</v>
      </c>
      <c r="F682" s="18"/>
      <c r="G682" s="22">
        <v>1.55E-2</v>
      </c>
    </row>
    <row r="683" spans="1:7" x14ac:dyDescent="0.3">
      <c r="A683" s="54">
        <v>44837</v>
      </c>
      <c r="B683" s="45">
        <v>22683.759999999998</v>
      </c>
      <c r="C683" s="45">
        <v>22683.759999999998</v>
      </c>
      <c r="D683" s="45">
        <v>22683.759999999998</v>
      </c>
      <c r="E683" s="45">
        <v>22683.759999999998</v>
      </c>
      <c r="F683" s="18"/>
      <c r="G683" s="22">
        <v>-1.29E-2</v>
      </c>
    </row>
    <row r="684" spans="1:7" x14ac:dyDescent="0.3">
      <c r="A684" s="54">
        <v>44838</v>
      </c>
      <c r="B684" s="45">
        <v>23190.95</v>
      </c>
      <c r="C684" s="45">
        <v>23190.95</v>
      </c>
      <c r="D684" s="45">
        <v>23190.95</v>
      </c>
      <c r="E684" s="45">
        <v>23190.95</v>
      </c>
      <c r="F684" s="18"/>
      <c r="G684" s="22">
        <v>2.24E-2</v>
      </c>
    </row>
    <row r="685" spans="1:7" x14ac:dyDescent="0.3">
      <c r="A685" s="54">
        <v>44840</v>
      </c>
      <c r="B685" s="45">
        <v>23326.09</v>
      </c>
      <c r="C685" s="45">
        <v>23326.09</v>
      </c>
      <c r="D685" s="45">
        <v>23326.09</v>
      </c>
      <c r="E685" s="45">
        <v>23326.09</v>
      </c>
      <c r="F685" s="18"/>
      <c r="G685" s="22">
        <v>5.7999999999999996E-3</v>
      </c>
    </row>
    <row r="686" spans="1:7" x14ac:dyDescent="0.3">
      <c r="A686" s="54">
        <v>44841</v>
      </c>
      <c r="B686" s="45">
        <v>23300.77</v>
      </c>
      <c r="C686" s="45">
        <v>23300.77</v>
      </c>
      <c r="D686" s="45">
        <v>23300.77</v>
      </c>
      <c r="E686" s="45">
        <v>23300.77</v>
      </c>
      <c r="F686" s="18"/>
      <c r="G686" s="22">
        <v>-1.1000000000000001E-3</v>
      </c>
    </row>
    <row r="687" spans="1:7" x14ac:dyDescent="0.3">
      <c r="A687" s="54">
        <v>44844</v>
      </c>
      <c r="B687" s="45">
        <v>23168.98</v>
      </c>
      <c r="C687" s="45">
        <v>23168.98</v>
      </c>
      <c r="D687" s="45">
        <v>23168.98</v>
      </c>
      <c r="E687" s="45">
        <v>23168.98</v>
      </c>
      <c r="F687" s="18"/>
      <c r="G687" s="22">
        <v>-5.7000000000000002E-3</v>
      </c>
    </row>
    <row r="688" spans="1:7" x14ac:dyDescent="0.3">
      <c r="A688" s="54">
        <v>44845</v>
      </c>
      <c r="B688" s="45">
        <v>22812.98</v>
      </c>
      <c r="C688" s="45">
        <v>22812.98</v>
      </c>
      <c r="D688" s="45">
        <v>22812.98</v>
      </c>
      <c r="E688" s="45">
        <v>22812.98</v>
      </c>
      <c r="F688" s="18"/>
      <c r="G688" s="22">
        <v>-1.54E-2</v>
      </c>
    </row>
    <row r="689" spans="1:7" x14ac:dyDescent="0.3">
      <c r="A689" s="54">
        <v>44846</v>
      </c>
      <c r="B689" s="45">
        <v>22980.400000000001</v>
      </c>
      <c r="C689" s="45">
        <v>22980.400000000001</v>
      </c>
      <c r="D689" s="45">
        <v>22980.400000000001</v>
      </c>
      <c r="E689" s="45">
        <v>22980.400000000001</v>
      </c>
      <c r="F689" s="18"/>
      <c r="G689" s="22">
        <v>7.3000000000000001E-3</v>
      </c>
    </row>
    <row r="690" spans="1:7" x14ac:dyDescent="0.3">
      <c r="A690" s="54">
        <v>44847</v>
      </c>
      <c r="B690" s="45">
        <v>22825.98</v>
      </c>
      <c r="C690" s="45">
        <v>22825.98</v>
      </c>
      <c r="D690" s="45">
        <v>22825.98</v>
      </c>
      <c r="E690" s="45">
        <v>22825.98</v>
      </c>
      <c r="F690" s="18"/>
      <c r="G690" s="22">
        <v>-6.7000000000000002E-3</v>
      </c>
    </row>
    <row r="691" spans="1:7" x14ac:dyDescent="0.3">
      <c r="A691" s="54">
        <v>44848</v>
      </c>
      <c r="B691" s="45">
        <v>22957.38</v>
      </c>
      <c r="C691" s="45">
        <v>22957.38</v>
      </c>
      <c r="D691" s="45">
        <v>22957.38</v>
      </c>
      <c r="E691" s="45">
        <v>22957.38</v>
      </c>
      <c r="F691" s="18"/>
      <c r="G691" s="22">
        <v>5.7999999999999996E-3</v>
      </c>
    </row>
    <row r="692" spans="1:7" x14ac:dyDescent="0.3">
      <c r="A692" s="54">
        <v>44851</v>
      </c>
      <c r="B692" s="45">
        <v>23100.15</v>
      </c>
      <c r="C692" s="45">
        <v>23100.15</v>
      </c>
      <c r="D692" s="45">
        <v>23100.15</v>
      </c>
      <c r="E692" s="45">
        <v>23100.15</v>
      </c>
      <c r="F692" s="18"/>
      <c r="G692" s="22">
        <v>6.1999999999999998E-3</v>
      </c>
    </row>
    <row r="693" spans="1:7" x14ac:dyDescent="0.3">
      <c r="A693" s="54">
        <v>44852</v>
      </c>
      <c r="B693" s="45">
        <v>23333.17</v>
      </c>
      <c r="C693" s="45">
        <v>23333.17</v>
      </c>
      <c r="D693" s="45">
        <v>23333.17</v>
      </c>
      <c r="E693" s="45">
        <v>23333.17</v>
      </c>
      <c r="F693" s="18"/>
      <c r="G693" s="22">
        <v>1.01E-2</v>
      </c>
    </row>
    <row r="694" spans="1:7" x14ac:dyDescent="0.3">
      <c r="A694" s="54">
        <v>44853</v>
      </c>
      <c r="B694" s="45">
        <v>23354.01</v>
      </c>
      <c r="C694" s="45">
        <v>23354.01</v>
      </c>
      <c r="D694" s="45">
        <v>23354.01</v>
      </c>
      <c r="E694" s="45">
        <v>23354.01</v>
      </c>
      <c r="F694" s="18"/>
      <c r="G694" s="22">
        <v>8.9999999999999998E-4</v>
      </c>
    </row>
    <row r="695" spans="1:7" x14ac:dyDescent="0.3">
      <c r="A695" s="54">
        <v>44854</v>
      </c>
      <c r="B695" s="45">
        <v>23421.439999999999</v>
      </c>
      <c r="C695" s="45">
        <v>23421.439999999999</v>
      </c>
      <c r="D695" s="45">
        <v>23421.439999999999</v>
      </c>
      <c r="E695" s="45">
        <v>23421.439999999999</v>
      </c>
      <c r="F695" s="18"/>
      <c r="G695" s="22">
        <v>2.8999999999999998E-3</v>
      </c>
    </row>
    <row r="696" spans="1:7" x14ac:dyDescent="0.3">
      <c r="A696" s="54">
        <v>44855</v>
      </c>
      <c r="B696" s="45">
        <v>23373.43</v>
      </c>
      <c r="C696" s="45">
        <v>23373.43</v>
      </c>
      <c r="D696" s="45">
        <v>23373.43</v>
      </c>
      <c r="E696" s="45">
        <v>23373.43</v>
      </c>
      <c r="F696" s="18"/>
      <c r="G696" s="22">
        <v>-2E-3</v>
      </c>
    </row>
    <row r="697" spans="1:7" x14ac:dyDescent="0.3">
      <c r="A697" s="54">
        <v>44858</v>
      </c>
      <c r="B697" s="45">
        <v>23555.8</v>
      </c>
      <c r="C697" s="45">
        <v>23555.8</v>
      </c>
      <c r="D697" s="45">
        <v>23555.8</v>
      </c>
      <c r="E697" s="45">
        <v>23555.8</v>
      </c>
      <c r="F697" s="18"/>
      <c r="G697" s="22">
        <v>7.7999999999999996E-3</v>
      </c>
    </row>
    <row r="698" spans="1:7" x14ac:dyDescent="0.3">
      <c r="A698" s="54">
        <v>44859</v>
      </c>
      <c r="B698" s="45">
        <v>23492.95</v>
      </c>
      <c r="C698" s="45">
        <v>23492.95</v>
      </c>
      <c r="D698" s="45">
        <v>23492.95</v>
      </c>
      <c r="E698" s="45">
        <v>23492.95</v>
      </c>
      <c r="F698" s="18"/>
      <c r="G698" s="22">
        <v>-2.7000000000000001E-3</v>
      </c>
    </row>
    <row r="699" spans="1:7" x14ac:dyDescent="0.3">
      <c r="A699" s="54">
        <v>44861</v>
      </c>
      <c r="B699" s="45">
        <v>23638.82</v>
      </c>
      <c r="C699" s="45">
        <v>23638.82</v>
      </c>
      <c r="D699" s="45">
        <v>23638.82</v>
      </c>
      <c r="E699" s="45">
        <v>23638.82</v>
      </c>
      <c r="F699" s="18"/>
      <c r="G699" s="22">
        <v>6.1999999999999998E-3</v>
      </c>
    </row>
    <row r="700" spans="1:7" x14ac:dyDescent="0.3">
      <c r="A700" s="54">
        <v>44862</v>
      </c>
      <c r="B700" s="45">
        <v>23634.83</v>
      </c>
      <c r="C700" s="45">
        <v>23634.83</v>
      </c>
      <c r="D700" s="45">
        <v>23634.83</v>
      </c>
      <c r="E700" s="45">
        <v>23634.83</v>
      </c>
      <c r="F700" s="18"/>
      <c r="G700" s="22">
        <v>-2.0000000000000001E-4</v>
      </c>
    </row>
    <row r="701" spans="1:7" x14ac:dyDescent="0.3">
      <c r="A701" s="54">
        <v>44865</v>
      </c>
      <c r="B701" s="45">
        <v>23919.759999999998</v>
      </c>
      <c r="C701" s="45">
        <v>23919.759999999998</v>
      </c>
      <c r="D701" s="45">
        <v>23919.759999999998</v>
      </c>
      <c r="E701" s="45">
        <v>23919.759999999998</v>
      </c>
      <c r="F701" s="18"/>
      <c r="G701" s="22">
        <v>1.21E-2</v>
      </c>
    </row>
    <row r="702" spans="1:7" x14ac:dyDescent="0.3">
      <c r="A702" s="54">
        <v>44866</v>
      </c>
      <c r="B702" s="45">
        <v>24098.84</v>
      </c>
      <c r="C702" s="45">
        <v>24098.84</v>
      </c>
      <c r="D702" s="45">
        <v>24098.84</v>
      </c>
      <c r="E702" s="45">
        <v>24098.84</v>
      </c>
      <c r="F702" s="18"/>
      <c r="G702" s="22">
        <v>7.4999999999999997E-3</v>
      </c>
    </row>
    <row r="703" spans="1:7" x14ac:dyDescent="0.3">
      <c r="A703" s="54">
        <v>44867</v>
      </c>
      <c r="B703" s="45">
        <v>24037.05</v>
      </c>
      <c r="C703" s="45">
        <v>24037.05</v>
      </c>
      <c r="D703" s="45">
        <v>24037.05</v>
      </c>
      <c r="E703" s="45">
        <v>24037.05</v>
      </c>
      <c r="F703" s="18"/>
      <c r="G703" s="22">
        <v>-2.5999999999999999E-3</v>
      </c>
    </row>
    <row r="704" spans="1:7" x14ac:dyDescent="0.3">
      <c r="A704" s="54">
        <v>44868</v>
      </c>
      <c r="B704" s="45">
        <v>24017.67</v>
      </c>
      <c r="C704" s="45">
        <v>24017.67</v>
      </c>
      <c r="D704" s="45">
        <v>24017.67</v>
      </c>
      <c r="E704" s="45">
        <v>24017.67</v>
      </c>
      <c r="F704" s="18"/>
      <c r="G704" s="22">
        <v>-8.0000000000000004E-4</v>
      </c>
    </row>
    <row r="705" spans="1:7" x14ac:dyDescent="0.3">
      <c r="A705" s="54">
        <v>44869</v>
      </c>
      <c r="B705" s="45">
        <v>24089.43</v>
      </c>
      <c r="C705" s="45">
        <v>24089.43</v>
      </c>
      <c r="D705" s="45">
        <v>24089.43</v>
      </c>
      <c r="E705" s="45">
        <v>24089.43</v>
      </c>
      <c r="F705" s="18"/>
      <c r="G705" s="22">
        <v>3.0000000000000001E-3</v>
      </c>
    </row>
    <row r="706" spans="1:7" x14ac:dyDescent="0.3">
      <c r="A706" s="54">
        <v>44872</v>
      </c>
      <c r="B706" s="45">
        <v>24220.28</v>
      </c>
      <c r="C706" s="45">
        <v>24220.28</v>
      </c>
      <c r="D706" s="45">
        <v>24220.28</v>
      </c>
      <c r="E706" s="45">
        <v>24220.28</v>
      </c>
      <c r="F706" s="18"/>
      <c r="G706" s="22">
        <v>5.4000000000000003E-3</v>
      </c>
    </row>
    <row r="707" spans="1:7" x14ac:dyDescent="0.3">
      <c r="A707" s="54">
        <v>44874</v>
      </c>
      <c r="B707" s="45">
        <v>24148.28</v>
      </c>
      <c r="C707" s="45">
        <v>24148.28</v>
      </c>
      <c r="D707" s="45">
        <v>24148.28</v>
      </c>
      <c r="E707" s="45">
        <v>24148.28</v>
      </c>
      <c r="F707" s="18"/>
      <c r="G707" s="22">
        <v>-3.0000000000000001E-3</v>
      </c>
    </row>
    <row r="708" spans="1:7" x14ac:dyDescent="0.3">
      <c r="A708" s="54">
        <v>44875</v>
      </c>
      <c r="B708" s="45">
        <v>23950.94</v>
      </c>
      <c r="C708" s="45">
        <v>23950.94</v>
      </c>
      <c r="D708" s="45">
        <v>23950.94</v>
      </c>
      <c r="E708" s="45">
        <v>23950.94</v>
      </c>
      <c r="F708" s="18"/>
      <c r="G708" s="22">
        <v>-8.2000000000000007E-3</v>
      </c>
    </row>
    <row r="709" spans="1:7" x14ac:dyDescent="0.3">
      <c r="A709" s="54">
        <v>44876</v>
      </c>
      <c r="B709" s="45">
        <v>24275.37</v>
      </c>
      <c r="C709" s="45">
        <v>24275.37</v>
      </c>
      <c r="D709" s="45">
        <v>24275.37</v>
      </c>
      <c r="E709" s="45">
        <v>24275.37</v>
      </c>
      <c r="F709" s="18"/>
      <c r="G709" s="22">
        <v>1.35E-2</v>
      </c>
    </row>
    <row r="710" spans="1:7" x14ac:dyDescent="0.3">
      <c r="A710" s="54">
        <v>44879</v>
      </c>
      <c r="B710" s="45">
        <v>24277.119999999999</v>
      </c>
      <c r="C710" s="45">
        <v>24277.119999999999</v>
      </c>
      <c r="D710" s="45">
        <v>24277.119999999999</v>
      </c>
      <c r="E710" s="45">
        <v>24277.119999999999</v>
      </c>
      <c r="F710" s="18"/>
      <c r="G710" s="22">
        <v>1E-4</v>
      </c>
    </row>
    <row r="711" spans="1:7" x14ac:dyDescent="0.3">
      <c r="A711" s="54">
        <v>44880</v>
      </c>
      <c r="B711" s="45">
        <v>24345.02</v>
      </c>
      <c r="C711" s="45">
        <v>24345.02</v>
      </c>
      <c r="D711" s="45">
        <v>24345.02</v>
      </c>
      <c r="E711" s="45">
        <v>24345.02</v>
      </c>
      <c r="F711" s="18"/>
      <c r="G711" s="22">
        <v>2.8E-3</v>
      </c>
    </row>
    <row r="712" spans="1:7" x14ac:dyDescent="0.3">
      <c r="A712" s="54">
        <v>44881</v>
      </c>
      <c r="B712" s="45">
        <v>24297.65</v>
      </c>
      <c r="C712" s="45">
        <v>24297.65</v>
      </c>
      <c r="D712" s="45">
        <v>24297.65</v>
      </c>
      <c r="E712" s="45">
        <v>24297.65</v>
      </c>
      <c r="F712" s="18"/>
      <c r="G712" s="22">
        <v>-1.9E-3</v>
      </c>
    </row>
    <row r="713" spans="1:7" x14ac:dyDescent="0.3">
      <c r="A713" s="54">
        <v>44882</v>
      </c>
      <c r="B713" s="45">
        <v>24195.57</v>
      </c>
      <c r="C713" s="45">
        <v>24195.57</v>
      </c>
      <c r="D713" s="45">
        <v>24195.57</v>
      </c>
      <c r="E713" s="45">
        <v>24195.57</v>
      </c>
      <c r="F713" s="18"/>
      <c r="G713" s="22">
        <v>-4.1999999999999997E-3</v>
      </c>
    </row>
    <row r="714" spans="1:7" x14ac:dyDescent="0.3">
      <c r="A714" s="54">
        <v>44883</v>
      </c>
      <c r="B714" s="45">
        <v>24124.3</v>
      </c>
      <c r="C714" s="45">
        <v>24124.3</v>
      </c>
      <c r="D714" s="45">
        <v>24124.3</v>
      </c>
      <c r="E714" s="45">
        <v>24124.3</v>
      </c>
      <c r="F714" s="18"/>
      <c r="G714" s="22">
        <v>-2.8999999999999998E-3</v>
      </c>
    </row>
    <row r="715" spans="1:7" x14ac:dyDescent="0.3">
      <c r="A715" s="54">
        <v>44887</v>
      </c>
      <c r="B715" s="45">
        <v>24060.5</v>
      </c>
      <c r="C715" s="45">
        <v>24060.5</v>
      </c>
      <c r="D715" s="45">
        <v>24060.5</v>
      </c>
      <c r="E715" s="45">
        <v>24060.5</v>
      </c>
      <c r="F715" s="18"/>
      <c r="G715" s="22">
        <v>-2.5999999999999999E-3</v>
      </c>
    </row>
    <row r="716" spans="1:7" x14ac:dyDescent="0.3">
      <c r="A716" s="54">
        <v>44888</v>
      </c>
      <c r="B716" s="45">
        <v>24105.439999999999</v>
      </c>
      <c r="C716" s="45">
        <v>24105.439999999999</v>
      </c>
      <c r="D716" s="45">
        <v>24105.439999999999</v>
      </c>
      <c r="E716" s="45">
        <v>24105.439999999999</v>
      </c>
      <c r="F716" s="18"/>
      <c r="G716" s="22">
        <v>1.9E-3</v>
      </c>
    </row>
    <row r="717" spans="1:7" x14ac:dyDescent="0.3">
      <c r="A717" s="54">
        <v>44889</v>
      </c>
      <c r="B717" s="45">
        <v>24326.89</v>
      </c>
      <c r="C717" s="45">
        <v>24326.89</v>
      </c>
      <c r="D717" s="45">
        <v>24326.89</v>
      </c>
      <c r="E717" s="45">
        <v>24326.89</v>
      </c>
      <c r="F717" s="18"/>
      <c r="G717" s="22">
        <v>9.1999999999999998E-3</v>
      </c>
    </row>
    <row r="718" spans="1:7" x14ac:dyDescent="0.3">
      <c r="A718" s="54">
        <v>44890</v>
      </c>
      <c r="B718" s="45">
        <v>24398.91</v>
      </c>
      <c r="C718" s="45">
        <v>24398.91</v>
      </c>
      <c r="D718" s="45">
        <v>24398.91</v>
      </c>
      <c r="E718" s="45">
        <v>24398.91</v>
      </c>
      <c r="F718" s="18"/>
      <c r="G718" s="22">
        <v>3.0000000000000001E-3</v>
      </c>
    </row>
    <row r="719" spans="1:7" x14ac:dyDescent="0.3">
      <c r="A719" s="54">
        <v>44893</v>
      </c>
      <c r="B719" s="45">
        <v>24487.63</v>
      </c>
      <c r="C719" s="45">
        <v>24487.63</v>
      </c>
      <c r="D719" s="45">
        <v>24487.63</v>
      </c>
      <c r="E719" s="45">
        <v>24487.63</v>
      </c>
      <c r="F719" s="18"/>
      <c r="G719" s="22">
        <v>3.5999999999999999E-3</v>
      </c>
    </row>
    <row r="720" spans="1:7" x14ac:dyDescent="0.3">
      <c r="A720" s="54">
        <v>44894</v>
      </c>
      <c r="B720" s="45">
        <v>24531.13</v>
      </c>
      <c r="C720" s="45">
        <v>24531.13</v>
      </c>
      <c r="D720" s="45">
        <v>24531.13</v>
      </c>
      <c r="E720" s="45">
        <v>24531.13</v>
      </c>
      <c r="F720" s="18"/>
      <c r="G720" s="22">
        <v>1.8E-3</v>
      </c>
    </row>
    <row r="721" spans="1:7" x14ac:dyDescent="0.3">
      <c r="A721" s="54">
        <v>44895</v>
      </c>
      <c r="B721" s="45">
        <v>24738.49</v>
      </c>
      <c r="C721" s="45">
        <v>24738.49</v>
      </c>
      <c r="D721" s="45">
        <v>24738.49</v>
      </c>
      <c r="E721" s="45">
        <v>24738.49</v>
      </c>
      <c r="F721" s="18"/>
      <c r="G721" s="22">
        <v>8.5000000000000006E-3</v>
      </c>
    </row>
    <row r="722" spans="1:7" x14ac:dyDescent="0.3">
      <c r="A722" s="54">
        <v>44896</v>
      </c>
      <c r="B722" s="45">
        <v>24828.21</v>
      </c>
      <c r="C722" s="45">
        <v>24828.21</v>
      </c>
      <c r="D722" s="45">
        <v>24828.21</v>
      </c>
      <c r="E722" s="45">
        <v>24828.21</v>
      </c>
      <c r="F722" s="18"/>
      <c r="G722" s="22">
        <v>3.5999999999999999E-3</v>
      </c>
    </row>
    <row r="723" spans="1:7" x14ac:dyDescent="0.3">
      <c r="A723" s="54">
        <v>44897</v>
      </c>
      <c r="B723" s="45">
        <v>24765.439999999999</v>
      </c>
      <c r="C723" s="45">
        <v>24765.439999999999</v>
      </c>
      <c r="D723" s="45">
        <v>24765.439999999999</v>
      </c>
      <c r="E723" s="45">
        <v>24765.439999999999</v>
      </c>
      <c r="F723" s="18"/>
      <c r="G723" s="22">
        <v>-2.5000000000000001E-3</v>
      </c>
    </row>
    <row r="724" spans="1:7" x14ac:dyDescent="0.3">
      <c r="A724" s="54">
        <v>44900</v>
      </c>
      <c r="B724" s="45">
        <v>24771.15</v>
      </c>
      <c r="C724" s="45">
        <v>24771.15</v>
      </c>
      <c r="D724" s="45">
        <v>24771.15</v>
      </c>
      <c r="E724" s="45">
        <v>24771.15</v>
      </c>
      <c r="F724" s="18"/>
      <c r="G724" s="22">
        <v>2.0000000000000001E-4</v>
      </c>
    </row>
    <row r="725" spans="1:7" x14ac:dyDescent="0.3">
      <c r="A725" s="54">
        <v>44901</v>
      </c>
      <c r="B725" s="45">
        <v>24702.36</v>
      </c>
      <c r="C725" s="45">
        <v>24702.36</v>
      </c>
      <c r="D725" s="45">
        <v>24702.36</v>
      </c>
      <c r="E725" s="45">
        <v>24702.36</v>
      </c>
      <c r="F725" s="18"/>
      <c r="G725" s="22">
        <v>-2.8E-3</v>
      </c>
    </row>
    <row r="726" spans="1:7" x14ac:dyDescent="0.3">
      <c r="A726" s="54">
        <v>44902</v>
      </c>
      <c r="B726" s="45">
        <v>24608</v>
      </c>
      <c r="C726" s="45">
        <v>24608</v>
      </c>
      <c r="D726" s="45">
        <v>24608</v>
      </c>
      <c r="E726" s="45">
        <v>24608</v>
      </c>
      <c r="F726" s="18"/>
      <c r="G726" s="22">
        <v>-3.8E-3</v>
      </c>
    </row>
    <row r="727" spans="1:7" x14ac:dyDescent="0.3">
      <c r="A727" s="54">
        <v>44903</v>
      </c>
      <c r="B727" s="45">
        <v>24684.18</v>
      </c>
      <c r="C727" s="45">
        <v>24684.18</v>
      </c>
      <c r="D727" s="45">
        <v>24684.18</v>
      </c>
      <c r="E727" s="45">
        <v>24684.18</v>
      </c>
      <c r="F727" s="18"/>
      <c r="G727" s="22">
        <v>3.0999999999999999E-3</v>
      </c>
    </row>
    <row r="728" spans="1:7" x14ac:dyDescent="0.3">
      <c r="A728" s="54">
        <v>44904</v>
      </c>
      <c r="B728" s="45">
        <v>24531.62</v>
      </c>
      <c r="C728" s="45">
        <v>24531.62</v>
      </c>
      <c r="D728" s="45">
        <v>24531.62</v>
      </c>
      <c r="E728" s="45">
        <v>24531.62</v>
      </c>
      <c r="F728" s="18"/>
      <c r="G728" s="22">
        <v>-6.1999999999999998E-3</v>
      </c>
    </row>
    <row r="729" spans="1:7" x14ac:dyDescent="0.3">
      <c r="A729" s="54">
        <v>44907</v>
      </c>
      <c r="B729" s="45">
        <v>24555.31</v>
      </c>
      <c r="C729" s="45">
        <v>24555.31</v>
      </c>
      <c r="D729" s="45">
        <v>24555.31</v>
      </c>
      <c r="E729" s="45">
        <v>24555.31</v>
      </c>
      <c r="F729" s="18"/>
      <c r="G729" s="22">
        <v>1E-3</v>
      </c>
    </row>
    <row r="730" spans="1:7" x14ac:dyDescent="0.3">
      <c r="A730" s="54">
        <v>44908</v>
      </c>
      <c r="B730" s="45">
        <v>24673.99</v>
      </c>
      <c r="C730" s="45">
        <v>24673.99</v>
      </c>
      <c r="D730" s="45">
        <v>24673.99</v>
      </c>
      <c r="E730" s="45">
        <v>24673.99</v>
      </c>
      <c r="F730" s="18"/>
      <c r="G730" s="22">
        <v>4.7999999999999996E-3</v>
      </c>
    </row>
    <row r="731" spans="1:7" x14ac:dyDescent="0.3">
      <c r="A731" s="54">
        <v>44909</v>
      </c>
      <c r="B731" s="45">
        <v>24765.99</v>
      </c>
      <c r="C731" s="45">
        <v>24765.99</v>
      </c>
      <c r="D731" s="45">
        <v>24765.99</v>
      </c>
      <c r="E731" s="45">
        <v>24765.99</v>
      </c>
      <c r="F731" s="18"/>
      <c r="G731" s="22">
        <v>3.7000000000000002E-3</v>
      </c>
    </row>
    <row r="732" spans="1:7" x14ac:dyDescent="0.3">
      <c r="A732" s="54">
        <v>44910</v>
      </c>
      <c r="B732" s="45">
        <v>24486.799999999999</v>
      </c>
      <c r="C732" s="45">
        <v>24486.799999999999</v>
      </c>
      <c r="D732" s="45">
        <v>24486.799999999999</v>
      </c>
      <c r="E732" s="45">
        <v>24486.799999999999</v>
      </c>
      <c r="F732" s="18"/>
      <c r="G732" s="22">
        <v>-1.1299999999999999E-2</v>
      </c>
    </row>
    <row r="733" spans="1:7" x14ac:dyDescent="0.3">
      <c r="A733" s="54">
        <v>44911</v>
      </c>
      <c r="B733" s="45">
        <v>24258</v>
      </c>
      <c r="C733" s="45">
        <v>24258</v>
      </c>
      <c r="D733" s="45">
        <v>24258</v>
      </c>
      <c r="E733" s="45">
        <v>24258</v>
      </c>
      <c r="F733" s="18"/>
      <c r="G733" s="22">
        <v>-9.2999999999999992E-3</v>
      </c>
    </row>
    <row r="734" spans="1:7" x14ac:dyDescent="0.3">
      <c r="A734" s="54">
        <v>44914</v>
      </c>
      <c r="B734" s="45">
        <v>24442.38</v>
      </c>
      <c r="C734" s="45">
        <v>24442.38</v>
      </c>
      <c r="D734" s="45">
        <v>24442.38</v>
      </c>
      <c r="E734" s="45">
        <v>24442.38</v>
      </c>
      <c r="F734" s="18"/>
      <c r="G734" s="22">
        <v>7.6E-3</v>
      </c>
    </row>
    <row r="735" spans="1:7" x14ac:dyDescent="0.3">
      <c r="A735" s="54">
        <v>44915</v>
      </c>
      <c r="B735" s="45">
        <v>24397.439999999999</v>
      </c>
      <c r="C735" s="45">
        <v>24397.439999999999</v>
      </c>
      <c r="D735" s="45">
        <v>24397.439999999999</v>
      </c>
      <c r="E735" s="45">
        <v>24397.439999999999</v>
      </c>
      <c r="F735" s="18"/>
      <c r="G735" s="22">
        <v>-1.8E-3</v>
      </c>
    </row>
    <row r="736" spans="1:7" x14ac:dyDescent="0.3">
      <c r="A736" s="54">
        <v>44916</v>
      </c>
      <c r="B736" s="45">
        <v>24089.23</v>
      </c>
      <c r="C736" s="45">
        <v>24089.23</v>
      </c>
      <c r="D736" s="45">
        <v>24089.23</v>
      </c>
      <c r="E736" s="45">
        <v>24089.23</v>
      </c>
      <c r="F736" s="18"/>
      <c r="G736" s="22">
        <v>-1.26E-2</v>
      </c>
    </row>
    <row r="737" spans="1:7" x14ac:dyDescent="0.3">
      <c r="A737" s="54">
        <v>44917</v>
      </c>
      <c r="B737" s="45">
        <v>23940.18</v>
      </c>
      <c r="C737" s="45">
        <v>23940.18</v>
      </c>
      <c r="D737" s="45">
        <v>23940.18</v>
      </c>
      <c r="E737" s="45">
        <v>23940.18</v>
      </c>
      <c r="F737" s="18"/>
      <c r="G737" s="22">
        <v>-6.1999999999999998E-3</v>
      </c>
    </row>
    <row r="738" spans="1:7" x14ac:dyDescent="0.3">
      <c r="A738" s="54">
        <v>44918</v>
      </c>
      <c r="B738" s="45">
        <v>23342.13</v>
      </c>
      <c r="C738" s="45">
        <v>23342.13</v>
      </c>
      <c r="D738" s="45">
        <v>23342.13</v>
      </c>
      <c r="E738" s="45">
        <v>23342.13</v>
      </c>
      <c r="F738" s="18"/>
      <c r="G738" s="22">
        <v>-2.5000000000000001E-2</v>
      </c>
    </row>
    <row r="739" spans="1:7" x14ac:dyDescent="0.3">
      <c r="A739" s="54">
        <v>44921</v>
      </c>
      <c r="B739" s="45">
        <v>23733.97</v>
      </c>
      <c r="C739" s="45">
        <v>23733.97</v>
      </c>
      <c r="D739" s="45">
        <v>23733.97</v>
      </c>
      <c r="E739" s="45">
        <v>23733.97</v>
      </c>
      <c r="F739" s="18"/>
      <c r="G739" s="22">
        <v>1.6799999999999999E-2</v>
      </c>
    </row>
    <row r="740" spans="1:7" x14ac:dyDescent="0.3">
      <c r="A740" s="54">
        <v>44922</v>
      </c>
      <c r="B740" s="45">
        <v>23919.81</v>
      </c>
      <c r="C740" s="45">
        <v>23919.81</v>
      </c>
      <c r="D740" s="45">
        <v>23919.81</v>
      </c>
      <c r="E740" s="45">
        <v>23919.81</v>
      </c>
      <c r="F740" s="18"/>
      <c r="G740" s="22">
        <v>7.7999999999999996E-3</v>
      </c>
    </row>
    <row r="741" spans="1:7" x14ac:dyDescent="0.3">
      <c r="A741" s="54">
        <v>44923</v>
      </c>
      <c r="B741" s="45">
        <v>23942.23</v>
      </c>
      <c r="C741" s="45">
        <v>23942.23</v>
      </c>
      <c r="D741" s="45">
        <v>23942.23</v>
      </c>
      <c r="E741" s="45">
        <v>23942.23</v>
      </c>
      <c r="F741" s="18"/>
      <c r="G741" s="22">
        <v>8.9999999999999998E-4</v>
      </c>
    </row>
    <row r="742" spans="1:7" x14ac:dyDescent="0.3">
      <c r="A742" s="54">
        <v>44924</v>
      </c>
      <c r="B742" s="45">
        <v>24023.53</v>
      </c>
      <c r="C742" s="45">
        <v>24023.53</v>
      </c>
      <c r="D742" s="45">
        <v>24023.53</v>
      </c>
      <c r="E742" s="45">
        <v>24023.53</v>
      </c>
      <c r="F742" s="18"/>
      <c r="G742" s="22">
        <v>3.3999999999999998E-3</v>
      </c>
    </row>
    <row r="743" spans="1:7" x14ac:dyDescent="0.3">
      <c r="A743" s="54">
        <v>44925</v>
      </c>
      <c r="B743" s="45">
        <v>23967.119999999999</v>
      </c>
      <c r="C743" s="45">
        <v>23967.119999999999</v>
      </c>
      <c r="D743" s="45">
        <v>23967.119999999999</v>
      </c>
      <c r="E743" s="45">
        <v>23967.119999999999</v>
      </c>
      <c r="F743" s="18"/>
      <c r="G743" s="22">
        <v>-2.3E-3</v>
      </c>
    </row>
    <row r="744" spans="1:7" x14ac:dyDescent="0.3">
      <c r="A744" s="54">
        <v>44928</v>
      </c>
      <c r="B744" s="45">
        <v>24083.14</v>
      </c>
      <c r="C744" s="45">
        <v>24083.14</v>
      </c>
      <c r="D744" s="45">
        <v>24083.14</v>
      </c>
      <c r="E744" s="45">
        <v>24083.14</v>
      </c>
      <c r="F744" s="18"/>
      <c r="G744" s="22">
        <v>4.7999999999999996E-3</v>
      </c>
    </row>
    <row r="745" spans="1:7" x14ac:dyDescent="0.3">
      <c r="A745" s="54">
        <v>44929</v>
      </c>
      <c r="B745" s="45">
        <v>24136.79</v>
      </c>
      <c r="C745" s="45">
        <v>24136.79</v>
      </c>
      <c r="D745" s="45">
        <v>24136.79</v>
      </c>
      <c r="E745" s="45">
        <v>24136.79</v>
      </c>
      <c r="F745" s="18"/>
      <c r="G745" s="22">
        <v>2.2000000000000001E-3</v>
      </c>
    </row>
    <row r="746" spans="1:7" x14ac:dyDescent="0.3">
      <c r="A746" s="54">
        <v>44930</v>
      </c>
      <c r="B746" s="45">
        <v>23881.119999999999</v>
      </c>
      <c r="C746" s="45">
        <v>23881.119999999999</v>
      </c>
      <c r="D746" s="45">
        <v>23881.119999999999</v>
      </c>
      <c r="E746" s="45">
        <v>23881.119999999999</v>
      </c>
      <c r="F746" s="18"/>
      <c r="G746" s="22">
        <v>-1.06E-2</v>
      </c>
    </row>
    <row r="747" spans="1:7" x14ac:dyDescent="0.3">
      <c r="A747" s="54">
        <v>44931</v>
      </c>
      <c r="B747" s="45">
        <v>23870.5</v>
      </c>
      <c r="C747" s="45">
        <v>23870.5</v>
      </c>
      <c r="D747" s="45">
        <v>23870.5</v>
      </c>
      <c r="E747" s="45">
        <v>23870.5</v>
      </c>
      <c r="F747" s="18"/>
      <c r="G747" s="22">
        <v>-4.0000000000000002E-4</v>
      </c>
    </row>
    <row r="748" spans="1:7" x14ac:dyDescent="0.3">
      <c r="A748" s="54">
        <v>44932</v>
      </c>
      <c r="B748" s="45">
        <v>23693.33</v>
      </c>
      <c r="C748" s="45">
        <v>23693.33</v>
      </c>
      <c r="D748" s="45">
        <v>23693.33</v>
      </c>
      <c r="E748" s="45">
        <v>23693.33</v>
      </c>
      <c r="F748" s="18"/>
      <c r="G748" s="22">
        <v>-7.4000000000000003E-3</v>
      </c>
    </row>
    <row r="749" spans="1:7" x14ac:dyDescent="0.3">
      <c r="A749" s="54">
        <v>44935</v>
      </c>
      <c r="B749" s="45">
        <v>23693.33</v>
      </c>
      <c r="C749" s="45">
        <v>23693.33</v>
      </c>
      <c r="D749" s="45">
        <v>23693.33</v>
      </c>
      <c r="E749" s="45">
        <v>23693.33</v>
      </c>
      <c r="F749" s="18"/>
      <c r="G749" s="22">
        <v>0</v>
      </c>
    </row>
    <row r="750" spans="1:7" x14ac:dyDescent="0.3">
      <c r="A750" s="54">
        <v>44936</v>
      </c>
      <c r="B750" s="45">
        <v>23775.95</v>
      </c>
      <c r="C750" s="45">
        <v>23775.95</v>
      </c>
      <c r="D750" s="45">
        <v>23775.95</v>
      </c>
      <c r="E750" s="45">
        <v>23775.95</v>
      </c>
      <c r="F750" s="18"/>
      <c r="G750" s="22">
        <v>3.5000000000000001E-3</v>
      </c>
    </row>
    <row r="751" spans="1:7" x14ac:dyDescent="0.3">
      <c r="A751" s="54">
        <v>44937</v>
      </c>
      <c r="B751" s="45">
        <v>23738.93</v>
      </c>
      <c r="C751" s="45">
        <v>23738.93</v>
      </c>
      <c r="D751" s="45">
        <v>23738.93</v>
      </c>
      <c r="E751" s="45">
        <v>23738.93</v>
      </c>
      <c r="F751" s="18"/>
      <c r="G751" s="22">
        <v>-1.6000000000000001E-3</v>
      </c>
    </row>
    <row r="752" spans="1:7" x14ac:dyDescent="0.3">
      <c r="A752" s="54">
        <v>44938</v>
      </c>
      <c r="B752" s="45">
        <v>23738.93</v>
      </c>
      <c r="C752" s="45">
        <v>23738.93</v>
      </c>
      <c r="D752" s="45">
        <v>23738.93</v>
      </c>
      <c r="E752" s="45">
        <v>23738.93</v>
      </c>
      <c r="F752" s="18"/>
      <c r="G752" s="22">
        <v>0</v>
      </c>
    </row>
    <row r="753" spans="1:7" x14ac:dyDescent="0.3">
      <c r="A753" s="54">
        <v>44939</v>
      </c>
      <c r="B753" s="45">
        <v>23808.34</v>
      </c>
      <c r="C753" s="45">
        <v>23808.34</v>
      </c>
      <c r="D753" s="45">
        <v>23808.34</v>
      </c>
      <c r="E753" s="45">
        <v>23808.34</v>
      </c>
      <c r="F753" s="18"/>
      <c r="G753" s="22">
        <v>2.8999999999999998E-3</v>
      </c>
    </row>
    <row r="754" spans="1:7" x14ac:dyDescent="0.3">
      <c r="A754" s="54">
        <v>44942</v>
      </c>
      <c r="B754" s="45">
        <v>23808.34</v>
      </c>
      <c r="C754" s="45">
        <v>23808.34</v>
      </c>
      <c r="D754" s="45">
        <v>23808.34</v>
      </c>
      <c r="E754" s="45">
        <v>23808.34</v>
      </c>
      <c r="F754" s="18"/>
      <c r="G754" s="22">
        <v>0</v>
      </c>
    </row>
    <row r="755" spans="1:7" x14ac:dyDescent="0.3">
      <c r="A755" s="54">
        <v>44943</v>
      </c>
      <c r="B755" s="45">
        <v>23885.99</v>
      </c>
      <c r="C755" s="45">
        <v>23885.99</v>
      </c>
      <c r="D755" s="45">
        <v>23885.99</v>
      </c>
      <c r="E755" s="45">
        <v>23885.99</v>
      </c>
      <c r="F755" s="18"/>
      <c r="G755" s="22">
        <v>3.3E-3</v>
      </c>
    </row>
    <row r="756" spans="1:7" x14ac:dyDescent="0.3">
      <c r="A756" s="54">
        <v>44944</v>
      </c>
      <c r="B756" s="45">
        <v>23994.91</v>
      </c>
      <c r="C756" s="45">
        <v>23994.91</v>
      </c>
      <c r="D756" s="45">
        <v>23994.91</v>
      </c>
      <c r="E756" s="45">
        <v>23994.91</v>
      </c>
      <c r="F756" s="18"/>
      <c r="G756" s="22">
        <v>4.5999999999999999E-3</v>
      </c>
    </row>
    <row r="757" spans="1:7" x14ac:dyDescent="0.3">
      <c r="A757" s="54">
        <v>44945</v>
      </c>
      <c r="B757" s="45">
        <v>23924.61</v>
      </c>
      <c r="C757" s="45">
        <v>23924.61</v>
      </c>
      <c r="D757" s="45">
        <v>23924.61</v>
      </c>
      <c r="E757" s="45">
        <v>23924.61</v>
      </c>
      <c r="F757" s="18"/>
      <c r="G757" s="22">
        <v>-2.8999999999999998E-3</v>
      </c>
    </row>
    <row r="758" spans="1:7" x14ac:dyDescent="0.3">
      <c r="A758" s="54">
        <v>44946</v>
      </c>
      <c r="B758" s="45">
        <v>23813.19</v>
      </c>
      <c r="C758" s="45">
        <v>23813.19</v>
      </c>
      <c r="D758" s="45">
        <v>23813.19</v>
      </c>
      <c r="E758" s="45">
        <v>23813.19</v>
      </c>
      <c r="F758" s="18"/>
      <c r="G758" s="22">
        <v>-4.7000000000000002E-3</v>
      </c>
    </row>
    <row r="759" spans="1:7" x14ac:dyDescent="0.3">
      <c r="A759" s="54">
        <v>44949</v>
      </c>
      <c r="B759" s="45">
        <v>23899.01</v>
      </c>
      <c r="C759" s="45">
        <v>23899.01</v>
      </c>
      <c r="D759" s="45">
        <v>23899.01</v>
      </c>
      <c r="E759" s="45">
        <v>23899.01</v>
      </c>
      <c r="F759" s="18"/>
      <c r="G759" s="22">
        <v>3.5999999999999999E-3</v>
      </c>
    </row>
    <row r="760" spans="1:7" x14ac:dyDescent="0.3">
      <c r="A760" s="54">
        <v>44950</v>
      </c>
      <c r="B760" s="45">
        <v>23876.66</v>
      </c>
      <c r="C760" s="45">
        <v>23876.66</v>
      </c>
      <c r="D760" s="45">
        <v>23876.66</v>
      </c>
      <c r="E760" s="45">
        <v>23876.66</v>
      </c>
      <c r="F760" s="18"/>
      <c r="G760" s="22">
        <v>-8.9999999999999998E-4</v>
      </c>
    </row>
    <row r="761" spans="1:7" x14ac:dyDescent="0.3">
      <c r="A761" s="54">
        <v>44951</v>
      </c>
      <c r="B761" s="45">
        <v>23541.16</v>
      </c>
      <c r="C761" s="45">
        <v>23541.16</v>
      </c>
      <c r="D761" s="45">
        <v>23541.16</v>
      </c>
      <c r="E761" s="45">
        <v>23541.16</v>
      </c>
      <c r="F761" s="18"/>
      <c r="G761" s="22">
        <v>-1.41E-2</v>
      </c>
    </row>
    <row r="762" spans="1:7" x14ac:dyDescent="0.3">
      <c r="A762" s="54">
        <v>44953</v>
      </c>
      <c r="B762" s="45">
        <v>23080.080000000002</v>
      </c>
      <c r="C762" s="45">
        <v>23080.080000000002</v>
      </c>
      <c r="D762" s="45">
        <v>23080.080000000002</v>
      </c>
      <c r="E762" s="45">
        <v>23080.080000000002</v>
      </c>
      <c r="F762" s="18"/>
      <c r="G762" s="22">
        <v>-1.9599999999999999E-2</v>
      </c>
    </row>
    <row r="763" spans="1:7" x14ac:dyDescent="0.3">
      <c r="A763" s="54">
        <v>44956</v>
      </c>
      <c r="B763" s="45">
        <v>23048.29</v>
      </c>
      <c r="C763" s="45">
        <v>23048.29</v>
      </c>
      <c r="D763" s="45">
        <v>23048.29</v>
      </c>
      <c r="E763" s="45">
        <v>23048.29</v>
      </c>
      <c r="F763" s="18"/>
      <c r="G763" s="22">
        <v>-1.4E-3</v>
      </c>
    </row>
    <row r="764" spans="1:7" x14ac:dyDescent="0.3">
      <c r="A764" s="54">
        <v>44957</v>
      </c>
      <c r="B764" s="45">
        <v>23175.05</v>
      </c>
      <c r="C764" s="45">
        <v>23175.05</v>
      </c>
      <c r="D764" s="45">
        <v>23175.05</v>
      </c>
      <c r="E764" s="45">
        <v>23175.05</v>
      </c>
      <c r="F764" s="18"/>
      <c r="G764" s="22">
        <v>5.4999999999999997E-3</v>
      </c>
    </row>
    <row r="765" spans="1:7" x14ac:dyDescent="0.3">
      <c r="A765" s="54">
        <v>44958</v>
      </c>
      <c r="B765" s="45">
        <v>23038.799999999999</v>
      </c>
      <c r="C765" s="45">
        <v>23038.799999999999</v>
      </c>
      <c r="D765" s="45">
        <v>23038.799999999999</v>
      </c>
      <c r="E765" s="45">
        <v>23038.799999999999</v>
      </c>
      <c r="F765" s="18"/>
      <c r="G765" s="22">
        <v>-5.8999999999999999E-3</v>
      </c>
    </row>
    <row r="766" spans="1:7" x14ac:dyDescent="0.3">
      <c r="A766" s="54">
        <v>44959</v>
      </c>
      <c r="B766" s="45">
        <v>23026.240000000002</v>
      </c>
      <c r="C766" s="45">
        <v>23026.240000000002</v>
      </c>
      <c r="D766" s="45">
        <v>23026.240000000002</v>
      </c>
      <c r="E766" s="45">
        <v>23026.240000000002</v>
      </c>
      <c r="F766" s="18"/>
      <c r="G766" s="22">
        <v>-5.0000000000000001E-4</v>
      </c>
    </row>
    <row r="767" spans="1:7" x14ac:dyDescent="0.3">
      <c r="A767" s="54">
        <v>44960</v>
      </c>
      <c r="B767" s="45">
        <v>23217.58</v>
      </c>
      <c r="C767" s="45">
        <v>23217.58</v>
      </c>
      <c r="D767" s="45">
        <v>23217.58</v>
      </c>
      <c r="E767" s="45">
        <v>23217.58</v>
      </c>
      <c r="F767" s="18"/>
      <c r="G767" s="22">
        <v>8.3000000000000001E-3</v>
      </c>
    </row>
    <row r="768" spans="1:7" x14ac:dyDescent="0.3">
      <c r="A768" s="54">
        <v>44963</v>
      </c>
      <c r="B768" s="45">
        <v>23174.09</v>
      </c>
      <c r="C768" s="45">
        <v>23174.09</v>
      </c>
      <c r="D768" s="45">
        <v>23174.09</v>
      </c>
      <c r="E768" s="45">
        <v>23174.09</v>
      </c>
      <c r="F768" s="18"/>
      <c r="G768" s="22">
        <v>-1.9E-3</v>
      </c>
    </row>
    <row r="769" spans="1:7" x14ac:dyDescent="0.3">
      <c r="A769" s="54">
        <v>44964</v>
      </c>
      <c r="B769" s="45">
        <v>23125.02</v>
      </c>
      <c r="C769" s="45">
        <v>23125.02</v>
      </c>
      <c r="D769" s="45">
        <v>23125.02</v>
      </c>
      <c r="E769" s="45">
        <v>23125.02</v>
      </c>
      <c r="F769" s="18"/>
      <c r="G769" s="22">
        <v>-2.0999999999999999E-3</v>
      </c>
    </row>
    <row r="770" spans="1:7" x14ac:dyDescent="0.3">
      <c r="A770" s="54">
        <v>44965</v>
      </c>
      <c r="B770" s="45">
        <v>23322.639999999999</v>
      </c>
      <c r="C770" s="45">
        <v>23322.639999999999</v>
      </c>
      <c r="D770" s="45">
        <v>23322.639999999999</v>
      </c>
      <c r="E770" s="45">
        <v>23322.639999999999</v>
      </c>
      <c r="F770" s="18"/>
      <c r="G770" s="22">
        <v>8.5000000000000006E-3</v>
      </c>
    </row>
    <row r="771" spans="1:7" x14ac:dyDescent="0.3">
      <c r="A771" s="54">
        <v>44966</v>
      </c>
      <c r="B771" s="45">
        <v>23325.42</v>
      </c>
      <c r="C771" s="45">
        <v>23325.42</v>
      </c>
      <c r="D771" s="45">
        <v>23325.42</v>
      </c>
      <c r="E771" s="45">
        <v>23325.42</v>
      </c>
      <c r="F771" s="18"/>
      <c r="G771" s="22">
        <v>1E-4</v>
      </c>
    </row>
    <row r="772" spans="1:7" x14ac:dyDescent="0.3">
      <c r="A772" s="54">
        <v>44967</v>
      </c>
      <c r="B772" s="45">
        <v>23304.12</v>
      </c>
      <c r="C772" s="45">
        <v>23304.12</v>
      </c>
      <c r="D772" s="45">
        <v>23304.12</v>
      </c>
      <c r="E772" s="45">
        <v>23304.12</v>
      </c>
      <c r="F772" s="18"/>
      <c r="G772" s="22">
        <v>-8.9999999999999998E-4</v>
      </c>
    </row>
    <row r="773" spans="1:7" x14ac:dyDescent="0.3">
      <c r="A773" s="54">
        <v>44970</v>
      </c>
      <c r="B773" s="45">
        <v>23125.41</v>
      </c>
      <c r="C773" s="45">
        <v>23125.41</v>
      </c>
      <c r="D773" s="45">
        <v>23125.41</v>
      </c>
      <c r="E773" s="45">
        <v>23125.41</v>
      </c>
      <c r="F773" s="18"/>
      <c r="G773" s="22">
        <v>-7.7000000000000002E-3</v>
      </c>
    </row>
    <row r="774" spans="1:7" x14ac:dyDescent="0.3">
      <c r="A774" s="54">
        <v>44971</v>
      </c>
      <c r="B774" s="45">
        <v>23231.75</v>
      </c>
      <c r="C774" s="45">
        <v>23231.75</v>
      </c>
      <c r="D774" s="45">
        <v>23231.75</v>
      </c>
      <c r="E774" s="45">
        <v>23231.75</v>
      </c>
      <c r="F774" s="18"/>
      <c r="G774" s="22">
        <v>4.5999999999999999E-3</v>
      </c>
    </row>
    <row r="775" spans="1:7" x14ac:dyDescent="0.3">
      <c r="A775" s="54">
        <v>44972</v>
      </c>
      <c r="B775" s="45">
        <v>23352.25</v>
      </c>
      <c r="C775" s="45">
        <v>23352.25</v>
      </c>
      <c r="D775" s="45">
        <v>23352.25</v>
      </c>
      <c r="E775" s="45">
        <v>23352.25</v>
      </c>
      <c r="F775" s="18"/>
      <c r="G775" s="22">
        <v>5.1999999999999998E-3</v>
      </c>
    </row>
    <row r="776" spans="1:7" x14ac:dyDescent="0.3">
      <c r="A776" s="54">
        <v>44973</v>
      </c>
      <c r="B776" s="45">
        <v>23420.94</v>
      </c>
      <c r="C776" s="45">
        <v>23420.94</v>
      </c>
      <c r="D776" s="45">
        <v>23420.94</v>
      </c>
      <c r="E776" s="45">
        <v>23420.94</v>
      </c>
      <c r="F776" s="18"/>
      <c r="G776" s="22">
        <v>2.8999999999999998E-3</v>
      </c>
    </row>
    <row r="777" spans="1:7" x14ac:dyDescent="0.3">
      <c r="A777" s="54">
        <v>44974</v>
      </c>
      <c r="B777" s="45">
        <v>23298.25</v>
      </c>
      <c r="C777" s="45">
        <v>23298.25</v>
      </c>
      <c r="D777" s="45">
        <v>23298.25</v>
      </c>
      <c r="E777" s="45">
        <v>23298.25</v>
      </c>
      <c r="F777" s="18"/>
      <c r="G777" s="22">
        <v>-5.1999999999999998E-3</v>
      </c>
    </row>
    <row r="778" spans="1:7" x14ac:dyDescent="0.3">
      <c r="A778" s="54">
        <v>44977</v>
      </c>
      <c r="B778" s="45">
        <v>23197</v>
      </c>
      <c r="C778" s="45">
        <v>23197</v>
      </c>
      <c r="D778" s="45">
        <v>23197</v>
      </c>
      <c r="E778" s="45">
        <v>23197</v>
      </c>
      <c r="F778" s="18"/>
      <c r="G778" s="22">
        <v>-4.3E-3</v>
      </c>
    </row>
    <row r="779" spans="1:7" x14ac:dyDescent="0.3">
      <c r="A779" s="54">
        <v>44978</v>
      </c>
      <c r="B779" s="45">
        <v>23158.959999999999</v>
      </c>
      <c r="C779" s="45">
        <v>23158.959999999999</v>
      </c>
      <c r="D779" s="45">
        <v>23158.959999999999</v>
      </c>
      <c r="E779" s="45">
        <v>23158.959999999999</v>
      </c>
      <c r="F779" s="18"/>
      <c r="G779" s="22">
        <v>-1.6000000000000001E-3</v>
      </c>
    </row>
    <row r="780" spans="1:7" x14ac:dyDescent="0.3">
      <c r="A780" s="54">
        <v>44979</v>
      </c>
      <c r="B780" s="45">
        <v>22830.35</v>
      </c>
      <c r="C780" s="45">
        <v>22830.35</v>
      </c>
      <c r="D780" s="45">
        <v>22830.35</v>
      </c>
      <c r="E780" s="45">
        <v>22830.35</v>
      </c>
      <c r="F780" s="18"/>
      <c r="G780" s="22">
        <v>-1.4200000000000001E-2</v>
      </c>
    </row>
    <row r="781" spans="1:7" x14ac:dyDescent="0.3">
      <c r="A781" s="54">
        <v>44980</v>
      </c>
      <c r="B781" s="45">
        <v>22775.81</v>
      </c>
      <c r="C781" s="45">
        <v>22775.81</v>
      </c>
      <c r="D781" s="45">
        <v>22775.81</v>
      </c>
      <c r="E781" s="45">
        <v>22775.81</v>
      </c>
      <c r="F781" s="18"/>
      <c r="G781" s="22">
        <v>-2.3999999999999998E-3</v>
      </c>
    </row>
    <row r="782" spans="1:7" x14ac:dyDescent="0.3">
      <c r="A782" s="54">
        <v>44981</v>
      </c>
      <c r="B782" s="45">
        <v>22719.84</v>
      </c>
      <c r="C782" s="45">
        <v>22719.84</v>
      </c>
      <c r="D782" s="45">
        <v>22719.84</v>
      </c>
      <c r="E782" s="45">
        <v>22719.84</v>
      </c>
      <c r="F782" s="18"/>
      <c r="G782" s="22">
        <v>-2.5000000000000001E-3</v>
      </c>
    </row>
    <row r="783" spans="1:7" x14ac:dyDescent="0.3">
      <c r="A783" s="54">
        <v>44984</v>
      </c>
      <c r="B783" s="45">
        <v>22592.89</v>
      </c>
      <c r="C783" s="45">
        <v>22592.89</v>
      </c>
      <c r="D783" s="45">
        <v>22592.89</v>
      </c>
      <c r="E783" s="45">
        <v>22592.89</v>
      </c>
      <c r="F783" s="18"/>
      <c r="G783" s="22">
        <v>-5.5999999999999999E-3</v>
      </c>
    </row>
    <row r="784" spans="1:7" x14ac:dyDescent="0.3">
      <c r="A784" s="54">
        <v>44985</v>
      </c>
      <c r="B784" s="45">
        <v>22546.35</v>
      </c>
      <c r="C784" s="45">
        <v>22546.35</v>
      </c>
      <c r="D784" s="45">
        <v>22546.35</v>
      </c>
      <c r="E784" s="45">
        <v>22546.35</v>
      </c>
      <c r="F784" s="18"/>
      <c r="G784" s="22">
        <v>-2.0999999999999999E-3</v>
      </c>
    </row>
    <row r="785" spans="1:7" x14ac:dyDescent="0.3">
      <c r="A785" s="54">
        <v>44986</v>
      </c>
      <c r="B785" s="45">
        <v>22773.279999999999</v>
      </c>
      <c r="C785" s="45">
        <v>22773.279999999999</v>
      </c>
      <c r="D785" s="45">
        <v>22773.279999999999</v>
      </c>
      <c r="E785" s="45">
        <v>22773.279999999999</v>
      </c>
      <c r="F785" s="18"/>
      <c r="G785" s="22">
        <v>1.01E-2</v>
      </c>
    </row>
    <row r="786" spans="1:7" x14ac:dyDescent="0.3">
      <c r="A786" s="54">
        <v>44987</v>
      </c>
      <c r="B786" s="45">
        <v>22652.74</v>
      </c>
      <c r="C786" s="45">
        <v>22652.74</v>
      </c>
      <c r="D786" s="45">
        <v>22652.74</v>
      </c>
      <c r="E786" s="45">
        <v>22652.74</v>
      </c>
      <c r="F786" s="18"/>
      <c r="G786" s="22">
        <v>-5.3E-3</v>
      </c>
    </row>
    <row r="787" spans="1:7" x14ac:dyDescent="0.3">
      <c r="A787" s="54">
        <v>44988</v>
      </c>
      <c r="B787" s="45">
        <v>22943.96</v>
      </c>
      <c r="C787" s="45">
        <v>22943.96</v>
      </c>
      <c r="D787" s="45">
        <v>22943.96</v>
      </c>
      <c r="E787" s="45">
        <v>22943.96</v>
      </c>
      <c r="F787" s="18"/>
      <c r="G787" s="22">
        <v>1.29E-2</v>
      </c>
    </row>
    <row r="788" spans="1:7" x14ac:dyDescent="0.3">
      <c r="A788" s="54">
        <v>44991</v>
      </c>
      <c r="B788" s="45">
        <v>23108.97</v>
      </c>
      <c r="C788" s="45">
        <v>23108.97</v>
      </c>
      <c r="D788" s="45">
        <v>23108.97</v>
      </c>
      <c r="E788" s="45">
        <v>23108.97</v>
      </c>
      <c r="F788" s="18"/>
      <c r="G788" s="22">
        <v>7.1999999999999998E-3</v>
      </c>
    </row>
    <row r="789" spans="1:7" x14ac:dyDescent="0.3">
      <c r="A789" s="54">
        <v>44993</v>
      </c>
      <c r="B789" s="45">
        <v>23172.99</v>
      </c>
      <c r="C789" s="45">
        <v>23172.99</v>
      </c>
      <c r="D789" s="45">
        <v>23172.99</v>
      </c>
      <c r="E789" s="45">
        <v>23172.99</v>
      </c>
      <c r="F789" s="18"/>
      <c r="G789" s="22">
        <v>2.8E-3</v>
      </c>
    </row>
    <row r="790" spans="1:7" x14ac:dyDescent="0.3">
      <c r="A790" s="54">
        <v>44994</v>
      </c>
      <c r="B790" s="45">
        <v>22989.73</v>
      </c>
      <c r="C790" s="45">
        <v>22989.73</v>
      </c>
      <c r="D790" s="45">
        <v>22989.73</v>
      </c>
      <c r="E790" s="45">
        <v>22989.73</v>
      </c>
      <c r="F790" s="18"/>
      <c r="G790" s="22">
        <v>-7.9000000000000008E-3</v>
      </c>
    </row>
    <row r="791" spans="1:7" x14ac:dyDescent="0.3">
      <c r="A791" s="54">
        <v>44995</v>
      </c>
      <c r="B791" s="45">
        <v>22797.01</v>
      </c>
      <c r="C791" s="45">
        <v>22797.01</v>
      </c>
      <c r="D791" s="45">
        <v>22797.01</v>
      </c>
      <c r="E791" s="45">
        <v>22797.01</v>
      </c>
      <c r="F791" s="18"/>
      <c r="G791" s="22">
        <v>-8.3999999999999995E-3</v>
      </c>
    </row>
    <row r="792" spans="1:7" x14ac:dyDescent="0.3">
      <c r="A792" s="54">
        <v>44998</v>
      </c>
      <c r="B792" s="45">
        <v>22446.97</v>
      </c>
      <c r="C792" s="45">
        <v>22446.97</v>
      </c>
      <c r="D792" s="45">
        <v>22446.97</v>
      </c>
      <c r="E792" s="45">
        <v>22446.97</v>
      </c>
      <c r="F792" s="18"/>
      <c r="G792" s="22">
        <v>-1.54E-2</v>
      </c>
    </row>
    <row r="793" spans="1:7" x14ac:dyDescent="0.3">
      <c r="A793" s="54">
        <v>44999</v>
      </c>
      <c r="B793" s="45">
        <v>22298.04</v>
      </c>
      <c r="C793" s="45">
        <v>22298.04</v>
      </c>
      <c r="D793" s="45">
        <v>22298.04</v>
      </c>
      <c r="E793" s="45">
        <v>22298.04</v>
      </c>
      <c r="F793" s="18"/>
      <c r="G793" s="22">
        <v>-6.6E-3</v>
      </c>
    </row>
    <row r="794" spans="1:7" x14ac:dyDescent="0.3">
      <c r="A794" s="54">
        <v>45000</v>
      </c>
      <c r="B794" s="45">
        <v>22238.83</v>
      </c>
      <c r="C794" s="45">
        <v>22238.83</v>
      </c>
      <c r="D794" s="45">
        <v>22238.83</v>
      </c>
      <c r="E794" s="45">
        <v>22238.83</v>
      </c>
      <c r="F794" s="18"/>
      <c r="G794" s="22">
        <v>-2.7000000000000001E-3</v>
      </c>
    </row>
    <row r="795" spans="1:7" x14ac:dyDescent="0.3">
      <c r="A795" s="54">
        <v>45001</v>
      </c>
      <c r="B795" s="45">
        <v>22254.68</v>
      </c>
      <c r="C795" s="45">
        <v>22254.68</v>
      </c>
      <c r="D795" s="45">
        <v>22254.68</v>
      </c>
      <c r="E795" s="45">
        <v>22254.68</v>
      </c>
      <c r="F795" s="18"/>
      <c r="G795" s="22">
        <v>6.9999999999999999E-4</v>
      </c>
    </row>
    <row r="796" spans="1:7" x14ac:dyDescent="0.3">
      <c r="A796" s="54">
        <v>45002</v>
      </c>
      <c r="B796" s="45">
        <v>22395.26</v>
      </c>
      <c r="C796" s="45">
        <v>22395.26</v>
      </c>
      <c r="D796" s="45">
        <v>22395.26</v>
      </c>
      <c r="E796" s="45">
        <v>22395.26</v>
      </c>
      <c r="F796" s="18"/>
      <c r="G796" s="22">
        <v>6.3E-3</v>
      </c>
    </row>
    <row r="797" spans="1:7" x14ac:dyDescent="0.3">
      <c r="A797" s="54">
        <v>45005</v>
      </c>
      <c r="B797" s="45">
        <v>22234.47</v>
      </c>
      <c r="C797" s="45">
        <v>22234.47</v>
      </c>
      <c r="D797" s="45">
        <v>22234.47</v>
      </c>
      <c r="E797" s="45">
        <v>22234.47</v>
      </c>
      <c r="F797" s="18"/>
      <c r="G797" s="22">
        <v>-7.1999999999999998E-3</v>
      </c>
    </row>
    <row r="798" spans="1:7" x14ac:dyDescent="0.3">
      <c r="A798" s="54">
        <v>45006</v>
      </c>
      <c r="B798" s="45">
        <v>22380.86</v>
      </c>
      <c r="C798" s="45">
        <v>22380.86</v>
      </c>
      <c r="D798" s="45">
        <v>22380.86</v>
      </c>
      <c r="E798" s="45">
        <v>22380.86</v>
      </c>
      <c r="F798" s="18"/>
      <c r="G798" s="22">
        <v>6.6E-3</v>
      </c>
    </row>
    <row r="799" spans="1:7" x14ac:dyDescent="0.3">
      <c r="A799" s="54">
        <v>45007</v>
      </c>
      <c r="B799" s="45">
        <v>22456.46</v>
      </c>
      <c r="C799" s="45">
        <v>22456.46</v>
      </c>
      <c r="D799" s="45">
        <v>22456.46</v>
      </c>
      <c r="E799" s="45">
        <v>22456.46</v>
      </c>
      <c r="F799" s="18"/>
      <c r="G799" s="22">
        <v>3.3999999999999998E-3</v>
      </c>
    </row>
    <row r="800" spans="1:7" x14ac:dyDescent="0.3">
      <c r="A800" s="54">
        <v>45008</v>
      </c>
      <c r="B800" s="45">
        <v>22368.83</v>
      </c>
      <c r="C800" s="45">
        <v>22368.83</v>
      </c>
      <c r="D800" s="45">
        <v>22368.83</v>
      </c>
      <c r="E800" s="45">
        <v>22368.83</v>
      </c>
      <c r="F800" s="18"/>
      <c r="G800" s="22">
        <v>-3.8999999999999998E-3</v>
      </c>
    </row>
    <row r="801" spans="1:7" x14ac:dyDescent="0.3">
      <c r="A801" s="54">
        <v>45009</v>
      </c>
      <c r="B801" s="45">
        <v>22176.11</v>
      </c>
      <c r="C801" s="45">
        <v>22176.11</v>
      </c>
      <c r="D801" s="45">
        <v>22176.11</v>
      </c>
      <c r="E801" s="45">
        <v>22176.11</v>
      </c>
      <c r="F801" s="18"/>
      <c r="G801" s="22">
        <v>-8.6E-3</v>
      </c>
    </row>
    <row r="802" spans="1:7" x14ac:dyDescent="0.3">
      <c r="A802" s="54">
        <v>45012</v>
      </c>
      <c r="B802" s="45">
        <v>22150.83</v>
      </c>
      <c r="C802" s="45">
        <v>22150.83</v>
      </c>
      <c r="D802" s="45">
        <v>22150.83</v>
      </c>
      <c r="E802" s="45">
        <v>22150.83</v>
      </c>
      <c r="F802" s="18"/>
      <c r="G802" s="22">
        <v>-1.1000000000000001E-3</v>
      </c>
    </row>
    <row r="803" spans="1:7" x14ac:dyDescent="0.3">
      <c r="A803" s="54">
        <v>45013</v>
      </c>
      <c r="B803" s="45">
        <v>22071.73</v>
      </c>
      <c r="C803" s="45">
        <v>22071.73</v>
      </c>
      <c r="D803" s="45">
        <v>22071.73</v>
      </c>
      <c r="E803" s="45">
        <v>22071.73</v>
      </c>
      <c r="F803" s="18"/>
      <c r="G803" s="22">
        <v>-3.5999999999999999E-3</v>
      </c>
    </row>
    <row r="804" spans="1:7" x14ac:dyDescent="0.3">
      <c r="A804" s="54">
        <v>45014</v>
      </c>
      <c r="B804" s="45">
        <v>22279.71</v>
      </c>
      <c r="C804" s="45">
        <v>22279.71</v>
      </c>
      <c r="D804" s="45">
        <v>22279.71</v>
      </c>
      <c r="E804" s="45">
        <v>22279.71</v>
      </c>
      <c r="F804" s="18"/>
      <c r="G804" s="22">
        <v>9.4000000000000004E-3</v>
      </c>
    </row>
    <row r="805" spans="1:7" x14ac:dyDescent="0.3">
      <c r="A805" s="54">
        <v>45016</v>
      </c>
      <c r="B805" s="45">
        <v>22609.54</v>
      </c>
      <c r="C805" s="45">
        <v>22609.54</v>
      </c>
      <c r="D805" s="45">
        <v>22609.54</v>
      </c>
      <c r="E805" s="45">
        <v>22609.54</v>
      </c>
      <c r="F805" s="18"/>
      <c r="G805" s="22">
        <v>1.4800000000000001E-2</v>
      </c>
    </row>
    <row r="806" spans="1:7" x14ac:dyDescent="0.3">
      <c r="A806" s="54">
        <v>45019</v>
      </c>
      <c r="B806" s="45">
        <v>22678.03</v>
      </c>
      <c r="C806" s="45">
        <v>22678.03</v>
      </c>
      <c r="D806" s="45">
        <v>22678.03</v>
      </c>
      <c r="E806" s="45">
        <v>22678.03</v>
      </c>
      <c r="F806" s="18"/>
      <c r="G806" s="22">
        <v>3.0000000000000001E-3</v>
      </c>
    </row>
    <row r="807" spans="1:7" x14ac:dyDescent="0.3">
      <c r="A807" s="54">
        <v>45021</v>
      </c>
      <c r="B807" s="45">
        <v>22844.93</v>
      </c>
      <c r="C807" s="45">
        <v>22844.93</v>
      </c>
      <c r="D807" s="45">
        <v>22844.93</v>
      </c>
      <c r="E807" s="45">
        <v>22844.93</v>
      </c>
      <c r="F807" s="18"/>
      <c r="G807" s="22">
        <v>7.4000000000000003E-3</v>
      </c>
    </row>
    <row r="808" spans="1:7" x14ac:dyDescent="0.3">
      <c r="A808" s="54">
        <v>45022</v>
      </c>
      <c r="B808" s="45">
        <v>22922.21</v>
      </c>
      <c r="C808" s="45">
        <v>22922.21</v>
      </c>
      <c r="D808" s="45">
        <v>22922.21</v>
      </c>
      <c r="E808" s="45">
        <v>22922.21</v>
      </c>
      <c r="F808" s="18"/>
      <c r="G808" s="22">
        <v>3.3999999999999998E-3</v>
      </c>
    </row>
    <row r="809" spans="1:7" x14ac:dyDescent="0.3">
      <c r="A809" s="54">
        <v>45026</v>
      </c>
      <c r="B809" s="45">
        <v>22970.959999999999</v>
      </c>
      <c r="C809" s="45">
        <v>22970.959999999999</v>
      </c>
      <c r="D809" s="45">
        <v>22970.959999999999</v>
      </c>
      <c r="E809" s="45">
        <v>22970.959999999999</v>
      </c>
      <c r="F809" s="18"/>
      <c r="G809" s="22">
        <v>2.0999999999999999E-3</v>
      </c>
    </row>
    <row r="810" spans="1:7" x14ac:dyDescent="0.3">
      <c r="A810" s="54">
        <v>45027</v>
      </c>
      <c r="B810" s="45">
        <v>23090.27</v>
      </c>
      <c r="C810" s="45">
        <v>23090.27</v>
      </c>
      <c r="D810" s="45">
        <v>23090.27</v>
      </c>
      <c r="E810" s="45">
        <v>23090.27</v>
      </c>
      <c r="F810" s="18"/>
      <c r="G810" s="22">
        <v>5.1999999999999998E-3</v>
      </c>
    </row>
    <row r="811" spans="1:7" x14ac:dyDescent="0.3">
      <c r="A811" s="54">
        <v>45028</v>
      </c>
      <c r="B811" s="45">
        <v>23205.72</v>
      </c>
      <c r="C811" s="45">
        <v>23205.72</v>
      </c>
      <c r="D811" s="45">
        <v>23205.72</v>
      </c>
      <c r="E811" s="45">
        <v>23205.72</v>
      </c>
      <c r="F811" s="18"/>
      <c r="G811" s="22">
        <v>5.0000000000000001E-3</v>
      </c>
    </row>
    <row r="812" spans="1:7" x14ac:dyDescent="0.3">
      <c r="A812" s="54">
        <v>45029</v>
      </c>
      <c r="B812" s="45">
        <v>23227.119999999999</v>
      </c>
      <c r="C812" s="45">
        <v>23227.119999999999</v>
      </c>
      <c r="D812" s="45">
        <v>23227.119999999999</v>
      </c>
      <c r="E812" s="45">
        <v>23227.119999999999</v>
      </c>
      <c r="F812" s="18"/>
      <c r="G812" s="22">
        <v>8.9999999999999998E-4</v>
      </c>
    </row>
    <row r="813" spans="1:7" x14ac:dyDescent="0.3">
      <c r="A813" s="54">
        <v>45033</v>
      </c>
      <c r="B813" s="45">
        <v>23149.56</v>
      </c>
      <c r="C813" s="45">
        <v>23149.56</v>
      </c>
      <c r="D813" s="45">
        <v>23149.56</v>
      </c>
      <c r="E813" s="45">
        <v>23149.56</v>
      </c>
      <c r="F813" s="18"/>
      <c r="G813" s="22">
        <v>-3.3E-3</v>
      </c>
    </row>
    <row r="814" spans="1:7" x14ac:dyDescent="0.3">
      <c r="A814" s="54">
        <v>45034</v>
      </c>
      <c r="B814" s="45">
        <v>23138.2</v>
      </c>
      <c r="C814" s="45">
        <v>23138.2</v>
      </c>
      <c r="D814" s="45">
        <v>23138.2</v>
      </c>
      <c r="E814" s="45">
        <v>23138.2</v>
      </c>
      <c r="F814" s="18"/>
      <c r="G814" s="22">
        <v>-5.0000000000000001E-4</v>
      </c>
    </row>
    <row r="815" spans="1:7" x14ac:dyDescent="0.3">
      <c r="A815" s="54">
        <v>45035</v>
      </c>
      <c r="B815" s="45">
        <v>23075.89</v>
      </c>
      <c r="C815" s="45">
        <v>23075.89</v>
      </c>
      <c r="D815" s="45">
        <v>23075.89</v>
      </c>
      <c r="E815" s="45">
        <v>23075.89</v>
      </c>
      <c r="F815" s="18"/>
      <c r="G815" s="22">
        <v>-2.7000000000000001E-3</v>
      </c>
    </row>
    <row r="816" spans="1:7" x14ac:dyDescent="0.3">
      <c r="A816" s="54">
        <v>45036</v>
      </c>
      <c r="B816" s="45">
        <v>23083.439999999999</v>
      </c>
      <c r="C816" s="45">
        <v>23083.439999999999</v>
      </c>
      <c r="D816" s="45">
        <v>23083.439999999999</v>
      </c>
      <c r="E816" s="45">
        <v>23083.439999999999</v>
      </c>
      <c r="F816" s="18"/>
      <c r="G816" s="22">
        <v>2.9999999999999997E-4</v>
      </c>
    </row>
    <row r="817" spans="1:7" x14ac:dyDescent="0.3">
      <c r="A817" s="54">
        <v>45037</v>
      </c>
      <c r="B817" s="45">
        <v>23061.48</v>
      </c>
      <c r="C817" s="45">
        <v>23061.48</v>
      </c>
      <c r="D817" s="45">
        <v>23061.48</v>
      </c>
      <c r="E817" s="45">
        <v>23061.48</v>
      </c>
      <c r="F817" s="18"/>
      <c r="G817" s="22">
        <v>-1E-3</v>
      </c>
    </row>
    <row r="818" spans="1:7" x14ac:dyDescent="0.3">
      <c r="A818" s="54">
        <v>45040</v>
      </c>
      <c r="B818" s="45">
        <v>23190.5</v>
      </c>
      <c r="C818" s="45">
        <v>23190.5</v>
      </c>
      <c r="D818" s="45">
        <v>23190.5</v>
      </c>
      <c r="E818" s="45">
        <v>23190.5</v>
      </c>
      <c r="F818" s="18"/>
      <c r="G818" s="22">
        <v>5.5999999999999999E-3</v>
      </c>
    </row>
    <row r="819" spans="1:7" x14ac:dyDescent="0.3">
      <c r="A819" s="54">
        <v>45041</v>
      </c>
      <c r="B819" s="45">
        <v>23230.2</v>
      </c>
      <c r="C819" s="45">
        <v>23230.2</v>
      </c>
      <c r="D819" s="45">
        <v>23230.2</v>
      </c>
      <c r="E819" s="45">
        <v>23230.2</v>
      </c>
      <c r="F819" s="18"/>
      <c r="G819" s="22">
        <v>1.6999999999999999E-3</v>
      </c>
    </row>
    <row r="820" spans="1:7" x14ac:dyDescent="0.3">
      <c r="A820" s="54">
        <v>45042</v>
      </c>
      <c r="B820" s="45">
        <v>23290.3</v>
      </c>
      <c r="C820" s="45">
        <v>23290.3</v>
      </c>
      <c r="D820" s="45">
        <v>23290.3</v>
      </c>
      <c r="E820" s="45">
        <v>23290.3</v>
      </c>
      <c r="F820" s="18"/>
      <c r="G820" s="22">
        <v>2.5999999999999999E-3</v>
      </c>
    </row>
    <row r="821" spans="1:7" x14ac:dyDescent="0.3">
      <c r="A821" s="54">
        <v>45043</v>
      </c>
      <c r="B821" s="45">
        <v>23415.66</v>
      </c>
      <c r="C821" s="45">
        <v>23415.66</v>
      </c>
      <c r="D821" s="45">
        <v>23415.66</v>
      </c>
      <c r="E821" s="45">
        <v>23415.66</v>
      </c>
      <c r="F821" s="18"/>
      <c r="G821" s="22">
        <v>5.4000000000000003E-3</v>
      </c>
    </row>
    <row r="822" spans="1:7" x14ac:dyDescent="0.3">
      <c r="A822" s="54">
        <v>45044</v>
      </c>
      <c r="B822" s="45">
        <v>23643.94</v>
      </c>
      <c r="C822" s="45">
        <v>23643.94</v>
      </c>
      <c r="D822" s="45">
        <v>23643.94</v>
      </c>
      <c r="E822" s="45">
        <v>23643.94</v>
      </c>
      <c r="F822" s="18"/>
      <c r="G822" s="22">
        <v>9.7000000000000003E-3</v>
      </c>
    </row>
    <row r="823" spans="1:7" x14ac:dyDescent="0.3">
      <c r="A823" s="54">
        <v>45048</v>
      </c>
      <c r="B823" s="45">
        <v>23770.12</v>
      </c>
      <c r="C823" s="45">
        <v>23770.12</v>
      </c>
      <c r="D823" s="45">
        <v>23770.12</v>
      </c>
      <c r="E823" s="45">
        <v>23770.12</v>
      </c>
      <c r="F823" s="18"/>
      <c r="G823" s="22">
        <v>5.3E-3</v>
      </c>
    </row>
    <row r="824" spans="1:7" x14ac:dyDescent="0.3">
      <c r="A824" s="54">
        <v>45049</v>
      </c>
      <c r="B824" s="45">
        <v>23732.29</v>
      </c>
      <c r="C824" s="45">
        <v>23732.29</v>
      </c>
      <c r="D824" s="45">
        <v>23732.29</v>
      </c>
      <c r="E824" s="45">
        <v>23732.29</v>
      </c>
      <c r="F824" s="18"/>
      <c r="G824" s="22">
        <v>-1.6000000000000001E-3</v>
      </c>
    </row>
    <row r="825" spans="1:7" x14ac:dyDescent="0.3">
      <c r="A825" s="54">
        <v>45050</v>
      </c>
      <c r="B825" s="45">
        <v>23932.9</v>
      </c>
      <c r="C825" s="45">
        <v>23932.9</v>
      </c>
      <c r="D825" s="45">
        <v>23932.9</v>
      </c>
      <c r="E825" s="45">
        <v>23932.9</v>
      </c>
      <c r="F825" s="18"/>
      <c r="G825" s="22">
        <v>8.5000000000000006E-3</v>
      </c>
    </row>
    <row r="826" spans="1:7" x14ac:dyDescent="0.3">
      <c r="A826" s="54">
        <v>45051</v>
      </c>
      <c r="B826" s="45">
        <v>23735.759999999998</v>
      </c>
      <c r="C826" s="45">
        <v>23735.759999999998</v>
      </c>
      <c r="D826" s="45">
        <v>23735.759999999998</v>
      </c>
      <c r="E826" s="45">
        <v>23735.759999999998</v>
      </c>
      <c r="F826" s="18"/>
      <c r="G826" s="22">
        <v>-8.2000000000000007E-3</v>
      </c>
    </row>
    <row r="827" spans="1:7" x14ac:dyDescent="0.3">
      <c r="A827" s="54">
        <v>45054</v>
      </c>
      <c r="B827" s="45">
        <v>23966.42</v>
      </c>
      <c r="C827" s="45">
        <v>23966.42</v>
      </c>
      <c r="D827" s="45">
        <v>23966.42</v>
      </c>
      <c r="E827" s="45">
        <v>23966.42</v>
      </c>
      <c r="F827" s="18"/>
      <c r="G827" s="22">
        <v>9.7000000000000003E-3</v>
      </c>
    </row>
    <row r="828" spans="1:7" x14ac:dyDescent="0.3">
      <c r="A828" s="54">
        <v>45055</v>
      </c>
      <c r="B828" s="45">
        <v>23956.36</v>
      </c>
      <c r="C828" s="45">
        <v>23956.36</v>
      </c>
      <c r="D828" s="45">
        <v>23956.36</v>
      </c>
      <c r="E828" s="45">
        <v>23956.36</v>
      </c>
      <c r="F828" s="18"/>
      <c r="G828" s="22">
        <v>-4.0000000000000002E-4</v>
      </c>
    </row>
    <row r="829" spans="1:7" x14ac:dyDescent="0.3">
      <c r="A829" s="54">
        <v>45056</v>
      </c>
      <c r="B829" s="45">
        <v>24027.200000000001</v>
      </c>
      <c r="C829" s="45">
        <v>24027.200000000001</v>
      </c>
      <c r="D829" s="45">
        <v>24027.200000000001</v>
      </c>
      <c r="E829" s="45">
        <v>24027.200000000001</v>
      </c>
      <c r="F829" s="18"/>
      <c r="G829" s="22">
        <v>3.0000000000000001E-3</v>
      </c>
    </row>
    <row r="830" spans="1:7" x14ac:dyDescent="0.3">
      <c r="A830" s="54">
        <v>45057</v>
      </c>
      <c r="B830" s="45">
        <v>24055.22</v>
      </c>
      <c r="C830" s="45">
        <v>24055.22</v>
      </c>
      <c r="D830" s="45">
        <v>24055.22</v>
      </c>
      <c r="E830" s="45">
        <v>24055.22</v>
      </c>
      <c r="F830" s="18"/>
      <c r="G830" s="22">
        <v>1.1999999999999999E-3</v>
      </c>
    </row>
    <row r="831" spans="1:7" x14ac:dyDescent="0.3">
      <c r="A831" s="54">
        <v>45058</v>
      </c>
      <c r="B831" s="45">
        <v>24044.99</v>
      </c>
      <c r="C831" s="45">
        <v>24044.99</v>
      </c>
      <c r="D831" s="45">
        <v>24044.99</v>
      </c>
      <c r="E831" s="45">
        <v>24044.99</v>
      </c>
      <c r="F831" s="18"/>
      <c r="G831" s="22">
        <v>-4.0000000000000002E-4</v>
      </c>
    </row>
    <row r="832" spans="1:7" x14ac:dyDescent="0.3">
      <c r="A832" s="54">
        <v>45061</v>
      </c>
      <c r="B832" s="45">
        <v>24157.41</v>
      </c>
      <c r="C832" s="45">
        <v>24157.41</v>
      </c>
      <c r="D832" s="45">
        <v>24157.41</v>
      </c>
      <c r="E832" s="45">
        <v>24157.41</v>
      </c>
      <c r="F832" s="18"/>
      <c r="G832" s="22">
        <v>4.7000000000000002E-3</v>
      </c>
    </row>
    <row r="833" spans="1:7" x14ac:dyDescent="0.3">
      <c r="A833" s="54">
        <v>45062</v>
      </c>
      <c r="B833" s="45">
        <v>24100.95</v>
      </c>
      <c r="C833" s="45">
        <v>24100.95</v>
      </c>
      <c r="D833" s="45">
        <v>24100.95</v>
      </c>
      <c r="E833" s="45">
        <v>24100.95</v>
      </c>
      <c r="F833" s="18"/>
      <c r="G833" s="22">
        <v>-2.3E-3</v>
      </c>
    </row>
    <row r="834" spans="1:7" x14ac:dyDescent="0.3">
      <c r="A834" s="54">
        <v>45063</v>
      </c>
      <c r="B834" s="45">
        <v>23998.15</v>
      </c>
      <c r="C834" s="45">
        <v>23998.15</v>
      </c>
      <c r="D834" s="45">
        <v>23998.15</v>
      </c>
      <c r="E834" s="45">
        <v>23998.15</v>
      </c>
      <c r="F834" s="18"/>
      <c r="G834" s="22">
        <v>-4.3E-3</v>
      </c>
    </row>
    <row r="835" spans="1:7" x14ac:dyDescent="0.3">
      <c r="A835" s="54">
        <v>45064</v>
      </c>
      <c r="B835" s="45">
        <v>23897.439999999999</v>
      </c>
      <c r="C835" s="45">
        <v>23897.439999999999</v>
      </c>
      <c r="D835" s="45">
        <v>23897.439999999999</v>
      </c>
      <c r="E835" s="45">
        <v>23897.439999999999</v>
      </c>
      <c r="F835" s="18"/>
      <c r="G835" s="22">
        <v>-4.1999999999999997E-3</v>
      </c>
    </row>
    <row r="836" spans="1:7" x14ac:dyDescent="0.3">
      <c r="A836" s="54">
        <v>45065</v>
      </c>
      <c r="B836" s="45">
        <v>23970.65</v>
      </c>
      <c r="C836" s="45">
        <v>23970.65</v>
      </c>
      <c r="D836" s="45">
        <v>23970.65</v>
      </c>
      <c r="E836" s="45">
        <v>23970.65</v>
      </c>
      <c r="F836" s="18"/>
      <c r="G836" s="22">
        <v>3.0999999999999999E-3</v>
      </c>
    </row>
    <row r="837" spans="1:7" x14ac:dyDescent="0.3">
      <c r="A837" s="54">
        <v>45068</v>
      </c>
      <c r="B837" s="45">
        <v>24120.68</v>
      </c>
      <c r="C837" s="45">
        <v>24120.68</v>
      </c>
      <c r="D837" s="45">
        <v>24120.68</v>
      </c>
      <c r="E837" s="45">
        <v>24120.68</v>
      </c>
      <c r="F837" s="18"/>
      <c r="G837" s="22">
        <v>6.3E-3</v>
      </c>
    </row>
    <row r="838" spans="1:7" x14ac:dyDescent="0.3">
      <c r="A838" s="54">
        <v>45069</v>
      </c>
      <c r="B838" s="45">
        <v>24184.07</v>
      </c>
      <c r="C838" s="45">
        <v>24184.07</v>
      </c>
      <c r="D838" s="45">
        <v>24184.07</v>
      </c>
      <c r="E838" s="45">
        <v>24184.07</v>
      </c>
      <c r="F838" s="18"/>
      <c r="G838" s="22">
        <v>2.5999999999999999E-3</v>
      </c>
    </row>
    <row r="839" spans="1:7" x14ac:dyDescent="0.3">
      <c r="A839" s="54">
        <v>45070</v>
      </c>
      <c r="B839" s="45">
        <v>24139.55</v>
      </c>
      <c r="C839" s="45">
        <v>24139.55</v>
      </c>
      <c r="D839" s="45">
        <v>24139.55</v>
      </c>
      <c r="E839" s="45">
        <v>24139.55</v>
      </c>
      <c r="F839" s="18"/>
      <c r="G839" s="22">
        <v>-1.8E-3</v>
      </c>
    </row>
    <row r="840" spans="1:7" x14ac:dyDescent="0.3">
      <c r="A840" s="54">
        <v>45071</v>
      </c>
      <c r="B840" s="45">
        <v>24200.87</v>
      </c>
      <c r="C840" s="45">
        <v>24200.87</v>
      </c>
      <c r="D840" s="45">
        <v>24200.87</v>
      </c>
      <c r="E840" s="45">
        <v>24200.87</v>
      </c>
      <c r="F840" s="18"/>
      <c r="G840" s="22">
        <v>2.5000000000000001E-3</v>
      </c>
    </row>
    <row r="841" spans="1:7" x14ac:dyDescent="0.3">
      <c r="A841" s="54">
        <v>45072</v>
      </c>
      <c r="B841" s="45">
        <v>24420.97</v>
      </c>
      <c r="C841" s="45">
        <v>24420.97</v>
      </c>
      <c r="D841" s="45">
        <v>24420.97</v>
      </c>
      <c r="E841" s="45">
        <v>24420.97</v>
      </c>
      <c r="F841" s="18"/>
      <c r="G841" s="22">
        <v>9.1000000000000004E-3</v>
      </c>
    </row>
    <row r="842" spans="1:7" x14ac:dyDescent="0.3">
      <c r="A842" s="54">
        <v>45075</v>
      </c>
      <c r="B842" s="45">
        <v>24538.66</v>
      </c>
      <c r="C842" s="45">
        <v>24538.66</v>
      </c>
      <c r="D842" s="45">
        <v>24538.66</v>
      </c>
      <c r="E842" s="45">
        <v>24538.66</v>
      </c>
      <c r="F842" s="18"/>
      <c r="G842" s="22">
        <v>4.7999999999999996E-3</v>
      </c>
    </row>
    <row r="843" spans="1:7" x14ac:dyDescent="0.3">
      <c r="A843" s="54">
        <v>45076</v>
      </c>
      <c r="B843" s="45">
        <v>24580.880000000001</v>
      </c>
      <c r="C843" s="45">
        <v>24580.880000000001</v>
      </c>
      <c r="D843" s="45">
        <v>24580.880000000001</v>
      </c>
      <c r="E843" s="45">
        <v>24580.880000000001</v>
      </c>
      <c r="F843" s="18"/>
      <c r="G843" s="22">
        <v>1.6999999999999999E-3</v>
      </c>
    </row>
    <row r="844" spans="1:7" x14ac:dyDescent="0.3">
      <c r="A844" s="54">
        <v>45077</v>
      </c>
      <c r="B844" s="45">
        <v>24538.09</v>
      </c>
      <c r="C844" s="45">
        <v>24538.09</v>
      </c>
      <c r="D844" s="45">
        <v>24538.09</v>
      </c>
      <c r="E844" s="45">
        <v>24538.09</v>
      </c>
      <c r="F844" s="18"/>
      <c r="G844" s="22">
        <v>-1.6999999999999999E-3</v>
      </c>
    </row>
    <row r="845" spans="1:7" x14ac:dyDescent="0.3">
      <c r="A845" s="54">
        <v>45078</v>
      </c>
      <c r="B845" s="45">
        <v>24528.9</v>
      </c>
      <c r="C845" s="45">
        <v>24528.9</v>
      </c>
      <c r="D845" s="45">
        <v>24528.9</v>
      </c>
      <c r="E845" s="45">
        <v>24528.9</v>
      </c>
      <c r="F845" s="18"/>
      <c r="G845" s="22">
        <v>-4.0000000000000002E-4</v>
      </c>
    </row>
    <row r="846" spans="1:7" x14ac:dyDescent="0.3">
      <c r="A846" s="54">
        <v>45079</v>
      </c>
      <c r="B846" s="45">
        <v>24622.76</v>
      </c>
      <c r="C846" s="45">
        <v>24622.76</v>
      </c>
      <c r="D846" s="45">
        <v>24622.76</v>
      </c>
      <c r="E846" s="45">
        <v>24622.76</v>
      </c>
      <c r="F846" s="18"/>
      <c r="G846" s="22">
        <v>3.8E-3</v>
      </c>
    </row>
    <row r="847" spans="1:7" x14ac:dyDescent="0.3">
      <c r="A847" s="54">
        <v>45082</v>
      </c>
      <c r="B847" s="45">
        <v>24698.02</v>
      </c>
      <c r="C847" s="45">
        <v>24698.02</v>
      </c>
      <c r="D847" s="45">
        <v>24698.02</v>
      </c>
      <c r="E847" s="45">
        <v>24698.02</v>
      </c>
      <c r="F847" s="18"/>
      <c r="G847" s="22">
        <v>3.0999999999999999E-3</v>
      </c>
    </row>
    <row r="848" spans="1:7" x14ac:dyDescent="0.3">
      <c r="A848" s="54">
        <v>45083</v>
      </c>
      <c r="B848" s="45">
        <v>24727.42</v>
      </c>
      <c r="C848" s="45">
        <v>24727.42</v>
      </c>
      <c r="D848" s="45">
        <v>24727.42</v>
      </c>
      <c r="E848" s="45">
        <v>24727.42</v>
      </c>
      <c r="F848" s="18"/>
      <c r="G848" s="22">
        <v>1.1999999999999999E-3</v>
      </c>
    </row>
    <row r="849" spans="1:7" x14ac:dyDescent="0.3">
      <c r="A849" s="54">
        <v>45084</v>
      </c>
      <c r="B849" s="45">
        <v>24927.81</v>
      </c>
      <c r="C849" s="45">
        <v>24927.81</v>
      </c>
      <c r="D849" s="45">
        <v>24927.81</v>
      </c>
      <c r="E849" s="45">
        <v>24927.81</v>
      </c>
      <c r="F849" s="18"/>
      <c r="G849" s="22">
        <v>8.0999999999999996E-3</v>
      </c>
    </row>
    <row r="850" spans="1:7" x14ac:dyDescent="0.3">
      <c r="A850" s="54">
        <v>45085</v>
      </c>
      <c r="B850" s="45">
        <v>24794.46</v>
      </c>
      <c r="C850" s="45">
        <v>24794.46</v>
      </c>
      <c r="D850" s="45">
        <v>24794.46</v>
      </c>
      <c r="E850" s="45">
        <v>24794.46</v>
      </c>
      <c r="F850" s="18"/>
      <c r="G850" s="22">
        <v>-5.3E-3</v>
      </c>
    </row>
    <row r="851" spans="1:7" x14ac:dyDescent="0.3">
      <c r="A851" s="54">
        <v>45086</v>
      </c>
      <c r="B851" s="45">
        <v>24728.83</v>
      </c>
      <c r="C851" s="45">
        <v>24728.83</v>
      </c>
      <c r="D851" s="45">
        <v>24728.83</v>
      </c>
      <c r="E851" s="45">
        <v>24728.83</v>
      </c>
      <c r="F851" s="18"/>
      <c r="G851" s="22">
        <v>-2.5999999999999999E-3</v>
      </c>
    </row>
    <row r="852" spans="1:7" x14ac:dyDescent="0.3">
      <c r="A852" s="54">
        <v>45089</v>
      </c>
      <c r="B852" s="45">
        <v>24809.86</v>
      </c>
      <c r="C852" s="45">
        <v>24809.86</v>
      </c>
      <c r="D852" s="45">
        <v>24809.86</v>
      </c>
      <c r="E852" s="45">
        <v>24809.86</v>
      </c>
      <c r="F852" s="18"/>
      <c r="G852" s="22">
        <v>3.3E-3</v>
      </c>
    </row>
    <row r="853" spans="1:7" x14ac:dyDescent="0.3">
      <c r="A853" s="54">
        <v>45090</v>
      </c>
      <c r="B853" s="45">
        <v>24995.38</v>
      </c>
      <c r="C853" s="45">
        <v>24995.38</v>
      </c>
      <c r="D853" s="45">
        <v>24995.38</v>
      </c>
      <c r="E853" s="45">
        <v>24995.38</v>
      </c>
      <c r="F853" s="18"/>
      <c r="G853" s="22">
        <v>7.4999999999999997E-3</v>
      </c>
    </row>
    <row r="854" spans="1:7" x14ac:dyDescent="0.3">
      <c r="A854" s="54">
        <v>45091</v>
      </c>
      <c r="B854" s="45">
        <v>25051.74</v>
      </c>
      <c r="C854" s="45">
        <v>25051.74</v>
      </c>
      <c r="D854" s="45">
        <v>25051.74</v>
      </c>
      <c r="E854" s="45">
        <v>25051.74</v>
      </c>
      <c r="F854" s="18"/>
      <c r="G854" s="22">
        <v>2.3E-3</v>
      </c>
    </row>
    <row r="855" spans="1:7" x14ac:dyDescent="0.3">
      <c r="A855" s="54">
        <v>45092</v>
      </c>
      <c r="B855" s="45">
        <v>25016.49</v>
      </c>
      <c r="C855" s="45">
        <v>25016.49</v>
      </c>
      <c r="D855" s="45">
        <v>25016.49</v>
      </c>
      <c r="E855" s="45">
        <v>25016.49</v>
      </c>
      <c r="F855" s="18"/>
      <c r="G855" s="22">
        <v>-1.4E-3</v>
      </c>
    </row>
    <row r="856" spans="1:7" x14ac:dyDescent="0.3">
      <c r="A856" s="54">
        <v>45093</v>
      </c>
      <c r="B856" s="45">
        <v>25210.05</v>
      </c>
      <c r="C856" s="45">
        <v>25210.05</v>
      </c>
      <c r="D856" s="45">
        <v>25210.05</v>
      </c>
      <c r="E856" s="45">
        <v>25210.05</v>
      </c>
      <c r="F856" s="18"/>
      <c r="G856" s="22">
        <v>7.7000000000000002E-3</v>
      </c>
    </row>
    <row r="857" spans="1:7" x14ac:dyDescent="0.3">
      <c r="A857" s="54">
        <v>45096</v>
      </c>
      <c r="B857" s="45">
        <v>25152.76</v>
      </c>
      <c r="C857" s="45">
        <v>25152.76</v>
      </c>
      <c r="D857" s="45">
        <v>25152.76</v>
      </c>
      <c r="E857" s="45">
        <v>25152.76</v>
      </c>
      <c r="F857" s="18"/>
      <c r="G857" s="22">
        <v>-2.3E-3</v>
      </c>
    </row>
    <row r="858" spans="1:7" x14ac:dyDescent="0.3">
      <c r="A858" s="54">
        <v>45097</v>
      </c>
      <c r="B858" s="45">
        <v>25242.91</v>
      </c>
      <c r="C858" s="45">
        <v>25242.91</v>
      </c>
      <c r="D858" s="45">
        <v>25242.91</v>
      </c>
      <c r="E858" s="45">
        <v>25242.91</v>
      </c>
      <c r="F858" s="18"/>
      <c r="G858" s="22">
        <v>3.5999999999999999E-3</v>
      </c>
    </row>
    <row r="859" spans="1:7" x14ac:dyDescent="0.3">
      <c r="A859" s="54">
        <v>45098</v>
      </c>
      <c r="B859" s="45">
        <v>25307.38</v>
      </c>
      <c r="C859" s="45">
        <v>25307.38</v>
      </c>
      <c r="D859" s="45">
        <v>25307.38</v>
      </c>
      <c r="E859" s="45">
        <v>25307.38</v>
      </c>
      <c r="F859" s="18"/>
      <c r="G859" s="22">
        <v>2.5999999999999999E-3</v>
      </c>
    </row>
    <row r="860" spans="1:7" x14ac:dyDescent="0.3">
      <c r="A860" s="54">
        <v>45099</v>
      </c>
      <c r="B860" s="45">
        <v>25151.71</v>
      </c>
      <c r="C860" s="45">
        <v>25151.71</v>
      </c>
      <c r="D860" s="45">
        <v>25151.71</v>
      </c>
      <c r="E860" s="45">
        <v>25151.71</v>
      </c>
      <c r="F860" s="18"/>
      <c r="G860" s="22">
        <v>-6.1999999999999998E-3</v>
      </c>
    </row>
    <row r="861" spans="1:7" x14ac:dyDescent="0.3">
      <c r="A861" s="54">
        <v>45100</v>
      </c>
      <c r="B861" s="45">
        <v>24951.37</v>
      </c>
      <c r="C861" s="45">
        <v>24951.37</v>
      </c>
      <c r="D861" s="45">
        <v>24951.37</v>
      </c>
      <c r="E861" s="45">
        <v>24951.37</v>
      </c>
      <c r="F861" s="18"/>
      <c r="G861" s="22">
        <v>-8.0000000000000002E-3</v>
      </c>
    </row>
    <row r="862" spans="1:7" x14ac:dyDescent="0.3">
      <c r="A862" s="54">
        <v>45103</v>
      </c>
      <c r="B862" s="45">
        <v>25036.52</v>
      </c>
      <c r="C862" s="45">
        <v>25036.52</v>
      </c>
      <c r="D862" s="45">
        <v>25036.52</v>
      </c>
      <c r="E862" s="45">
        <v>25036.52</v>
      </c>
      <c r="F862" s="18"/>
      <c r="G862" s="22">
        <v>3.3999999999999998E-3</v>
      </c>
    </row>
    <row r="863" spans="1:7" x14ac:dyDescent="0.3">
      <c r="A863" s="54">
        <v>45104</v>
      </c>
      <c r="B863" s="45">
        <v>25188.25</v>
      </c>
      <c r="C863" s="45">
        <v>25188.25</v>
      </c>
      <c r="D863" s="45">
        <v>25188.25</v>
      </c>
      <c r="E863" s="45">
        <v>25188.25</v>
      </c>
      <c r="F863" s="18"/>
      <c r="G863" s="22">
        <v>6.1000000000000004E-3</v>
      </c>
    </row>
    <row r="864" spans="1:7" x14ac:dyDescent="0.3">
      <c r="A864" s="54">
        <v>45105</v>
      </c>
      <c r="B864" s="45">
        <v>25365.599999999999</v>
      </c>
      <c r="C864" s="45">
        <v>25365.599999999999</v>
      </c>
      <c r="D864" s="45">
        <v>25365.599999999999</v>
      </c>
      <c r="E864" s="45">
        <v>25365.599999999999</v>
      </c>
      <c r="F864" s="18"/>
      <c r="G864" s="22">
        <v>7.0000000000000001E-3</v>
      </c>
    </row>
    <row r="865" spans="1:7" x14ac:dyDescent="0.3">
      <c r="A865" s="54">
        <v>45107</v>
      </c>
      <c r="B865" s="45">
        <v>25605.81</v>
      </c>
      <c r="C865" s="45">
        <v>25605.81</v>
      </c>
      <c r="D865" s="45">
        <v>25605.81</v>
      </c>
      <c r="E865" s="45">
        <v>25605.81</v>
      </c>
      <c r="F865" s="18"/>
      <c r="G865" s="22">
        <v>9.4999999999999998E-3</v>
      </c>
    </row>
    <row r="866" spans="1:7" x14ac:dyDescent="0.3">
      <c r="A866" s="54">
        <v>45110</v>
      </c>
      <c r="B866" s="45">
        <v>25758.55</v>
      </c>
      <c r="C866" s="45">
        <v>25758.55</v>
      </c>
      <c r="D866" s="45">
        <v>25758.55</v>
      </c>
      <c r="E866" s="45">
        <v>25758.55</v>
      </c>
      <c r="F866" s="18"/>
      <c r="G866" s="22">
        <v>6.0000000000000001E-3</v>
      </c>
    </row>
    <row r="867" spans="1:7" x14ac:dyDescent="0.3">
      <c r="A867" s="54">
        <v>45111</v>
      </c>
      <c r="B867" s="45">
        <v>25802.39</v>
      </c>
      <c r="C867" s="45">
        <v>25802.39</v>
      </c>
      <c r="D867" s="45">
        <v>25802.39</v>
      </c>
      <c r="E867" s="45">
        <v>25802.39</v>
      </c>
      <c r="F867" s="18"/>
      <c r="G867" s="22">
        <v>1.6999999999999999E-3</v>
      </c>
    </row>
    <row r="868" spans="1:7" x14ac:dyDescent="0.3">
      <c r="A868" s="54">
        <v>45112</v>
      </c>
      <c r="B868" s="45">
        <v>25866.77</v>
      </c>
      <c r="C868" s="45">
        <v>25866.77</v>
      </c>
      <c r="D868" s="45">
        <v>25866.77</v>
      </c>
      <c r="E868" s="45">
        <v>25866.77</v>
      </c>
      <c r="F868" s="18"/>
      <c r="G868" s="22">
        <v>2.5000000000000001E-3</v>
      </c>
    </row>
    <row r="869" spans="1:7" x14ac:dyDescent="0.3">
      <c r="A869" s="54">
        <v>45113</v>
      </c>
      <c r="B869" s="45">
        <v>26019.5</v>
      </c>
      <c r="C869" s="45">
        <v>26019.5</v>
      </c>
      <c r="D869" s="45">
        <v>26019.5</v>
      </c>
      <c r="E869" s="45">
        <v>26019.5</v>
      </c>
      <c r="F869" s="18"/>
      <c r="G869" s="22">
        <v>5.8999999999999999E-3</v>
      </c>
    </row>
    <row r="870" spans="1:7" x14ac:dyDescent="0.3">
      <c r="A870" s="54">
        <v>45114</v>
      </c>
      <c r="B870" s="45">
        <v>25819.68</v>
      </c>
      <c r="C870" s="45">
        <v>25819.68</v>
      </c>
      <c r="D870" s="45">
        <v>25819.68</v>
      </c>
      <c r="E870" s="45">
        <v>25819.68</v>
      </c>
      <c r="F870" s="18"/>
      <c r="G870" s="22">
        <v>-7.7000000000000002E-3</v>
      </c>
    </row>
    <row r="871" spans="1:7" x14ac:dyDescent="0.3">
      <c r="A871" s="54">
        <v>45117</v>
      </c>
      <c r="B871" s="45">
        <v>25802.98</v>
      </c>
      <c r="C871" s="45">
        <v>25802.98</v>
      </c>
      <c r="D871" s="45">
        <v>25802.98</v>
      </c>
      <c r="E871" s="45">
        <v>25802.98</v>
      </c>
      <c r="F871" s="18"/>
      <c r="G871" s="22">
        <v>-5.9999999999999995E-4</v>
      </c>
    </row>
    <row r="872" spans="1:7" x14ac:dyDescent="0.3">
      <c r="A872" s="54">
        <v>45118</v>
      </c>
      <c r="B872" s="45">
        <v>25951.75</v>
      </c>
      <c r="C872" s="45">
        <v>25951.75</v>
      </c>
      <c r="D872" s="45">
        <v>25951.75</v>
      </c>
      <c r="E872" s="45">
        <v>25951.75</v>
      </c>
      <c r="F872" s="18"/>
      <c r="G872" s="22">
        <v>5.7999999999999996E-3</v>
      </c>
    </row>
    <row r="873" spans="1:7" x14ac:dyDescent="0.3">
      <c r="A873" s="54">
        <v>45119</v>
      </c>
      <c r="B873" s="45">
        <v>25941.03</v>
      </c>
      <c r="C873" s="45">
        <v>25941.03</v>
      </c>
      <c r="D873" s="45">
        <v>25941.03</v>
      </c>
      <c r="E873" s="45">
        <v>25941.03</v>
      </c>
      <c r="F873" s="18"/>
      <c r="G873" s="22">
        <v>-4.0000000000000002E-4</v>
      </c>
    </row>
    <row r="874" spans="1:7" x14ac:dyDescent="0.3">
      <c r="A874" s="54">
        <v>45120</v>
      </c>
      <c r="B874" s="45">
        <v>25915.16</v>
      </c>
      <c r="C874" s="45">
        <v>25915.16</v>
      </c>
      <c r="D874" s="45">
        <v>25915.16</v>
      </c>
      <c r="E874" s="45">
        <v>25915.16</v>
      </c>
      <c r="F874" s="18"/>
      <c r="G874" s="22">
        <v>-1E-3</v>
      </c>
    </row>
    <row r="875" spans="1:7" x14ac:dyDescent="0.3">
      <c r="A875" s="54">
        <v>45121</v>
      </c>
      <c r="B875" s="45">
        <v>26140.06</v>
      </c>
      <c r="C875" s="45">
        <v>26140.06</v>
      </c>
      <c r="D875" s="45">
        <v>26140.06</v>
      </c>
      <c r="E875" s="45">
        <v>26140.06</v>
      </c>
      <c r="F875" s="18"/>
      <c r="G875" s="22">
        <v>8.6999999999999994E-3</v>
      </c>
    </row>
    <row r="876" spans="1:7" x14ac:dyDescent="0.3">
      <c r="A876" s="54">
        <v>45124</v>
      </c>
      <c r="B876" s="45">
        <v>26306.400000000001</v>
      </c>
      <c r="C876" s="45">
        <v>26306.400000000001</v>
      </c>
      <c r="D876" s="45">
        <v>26306.400000000001</v>
      </c>
      <c r="E876" s="45">
        <v>26306.400000000001</v>
      </c>
      <c r="F876" s="18"/>
      <c r="G876" s="22">
        <v>6.4000000000000003E-3</v>
      </c>
    </row>
    <row r="877" spans="1:7" x14ac:dyDescent="0.3">
      <c r="A877" s="54">
        <v>45125</v>
      </c>
      <c r="B877" s="45">
        <v>26306.44</v>
      </c>
      <c r="C877" s="45">
        <v>26306.44</v>
      </c>
      <c r="D877" s="45">
        <v>26306.44</v>
      </c>
      <c r="E877" s="45">
        <v>26306.44</v>
      </c>
      <c r="F877" s="18"/>
      <c r="G877" s="22">
        <v>0</v>
      </c>
    </row>
    <row r="878" spans="1:7" x14ac:dyDescent="0.3">
      <c r="A878" s="54">
        <v>45126</v>
      </c>
      <c r="B878" s="45">
        <v>26433.69</v>
      </c>
      <c r="C878" s="45">
        <v>26433.69</v>
      </c>
      <c r="D878" s="45">
        <v>26433.69</v>
      </c>
      <c r="E878" s="45">
        <v>26433.69</v>
      </c>
      <c r="F878" s="18"/>
      <c r="G878" s="22">
        <v>4.7999999999999996E-3</v>
      </c>
    </row>
    <row r="879" spans="1:7" x14ac:dyDescent="0.3">
      <c r="A879" s="54">
        <v>45127</v>
      </c>
      <c r="B879" s="45">
        <v>26576.66</v>
      </c>
      <c r="C879" s="45">
        <v>26576.66</v>
      </c>
      <c r="D879" s="45">
        <v>26576.66</v>
      </c>
      <c r="E879" s="45">
        <v>26576.66</v>
      </c>
      <c r="F879" s="18"/>
      <c r="G879" s="22">
        <v>5.4000000000000003E-3</v>
      </c>
    </row>
    <row r="880" spans="1:7" x14ac:dyDescent="0.3">
      <c r="A880" s="54">
        <v>45128</v>
      </c>
      <c r="B880" s="45">
        <v>26363.759999999998</v>
      </c>
      <c r="C880" s="45">
        <v>26363.759999999998</v>
      </c>
      <c r="D880" s="45">
        <v>26363.759999999998</v>
      </c>
      <c r="E880" s="45">
        <v>26363.759999999998</v>
      </c>
      <c r="F880" s="18"/>
      <c r="G880" s="22">
        <v>-8.0000000000000002E-3</v>
      </c>
    </row>
    <row r="881" spans="1:7" x14ac:dyDescent="0.3">
      <c r="A881" s="54">
        <v>45131</v>
      </c>
      <c r="B881" s="45">
        <v>26302.9</v>
      </c>
      <c r="C881" s="45">
        <v>26302.9</v>
      </c>
      <c r="D881" s="45">
        <v>26302.9</v>
      </c>
      <c r="E881" s="45">
        <v>26302.9</v>
      </c>
      <c r="F881" s="18"/>
      <c r="G881" s="22">
        <v>-2.3E-3</v>
      </c>
    </row>
    <row r="882" spans="1:7" x14ac:dyDescent="0.3">
      <c r="A882" s="54">
        <v>45132</v>
      </c>
      <c r="B882" s="45">
        <v>26352.58</v>
      </c>
      <c r="C882" s="45">
        <v>26352.58</v>
      </c>
      <c r="D882" s="45">
        <v>26352.58</v>
      </c>
      <c r="E882" s="45">
        <v>26352.58</v>
      </c>
      <c r="F882" s="18"/>
      <c r="G882" s="22">
        <v>1.9E-3</v>
      </c>
    </row>
    <row r="883" spans="1:7" x14ac:dyDescent="0.3">
      <c r="A883" s="54">
        <v>45133</v>
      </c>
      <c r="B883" s="45">
        <v>26474.86</v>
      </c>
      <c r="C883" s="45">
        <v>26474.86</v>
      </c>
      <c r="D883" s="45">
        <v>26474.86</v>
      </c>
      <c r="E883" s="45">
        <v>26474.86</v>
      </c>
      <c r="F883" s="18"/>
      <c r="G883" s="22">
        <v>4.5999999999999999E-3</v>
      </c>
    </row>
    <row r="884" spans="1:7" x14ac:dyDescent="0.3">
      <c r="A884" s="54">
        <v>45134</v>
      </c>
      <c r="B884" s="45">
        <v>26390.080000000002</v>
      </c>
      <c r="C884" s="45">
        <v>26390.080000000002</v>
      </c>
      <c r="D884" s="45">
        <v>26390.080000000002</v>
      </c>
      <c r="E884" s="45">
        <v>26390.080000000002</v>
      </c>
      <c r="F884" s="18"/>
      <c r="G884" s="22">
        <v>-3.2000000000000002E-3</v>
      </c>
    </row>
    <row r="885" spans="1:7" x14ac:dyDescent="0.3">
      <c r="A885" s="54">
        <v>45135</v>
      </c>
      <c r="B885" s="45">
        <v>26439.89</v>
      </c>
      <c r="C885" s="45">
        <v>26439.89</v>
      </c>
      <c r="D885" s="45">
        <v>26439.89</v>
      </c>
      <c r="E885" s="45">
        <v>26439.89</v>
      </c>
      <c r="F885" s="18"/>
      <c r="G885" s="22">
        <v>1.9E-3</v>
      </c>
    </row>
    <row r="886" spans="1:7" x14ac:dyDescent="0.3">
      <c r="A886" s="54">
        <v>45138</v>
      </c>
      <c r="B886" s="45">
        <v>26612.52</v>
      </c>
      <c r="C886" s="45">
        <v>26612.52</v>
      </c>
      <c r="D886" s="45">
        <v>26612.52</v>
      </c>
      <c r="E886" s="45">
        <v>26612.52</v>
      </c>
      <c r="F886" s="18"/>
      <c r="G886" s="22">
        <v>6.4999999999999997E-3</v>
      </c>
    </row>
    <row r="887" spans="1:7" x14ac:dyDescent="0.3">
      <c r="A887" s="54">
        <v>45139</v>
      </c>
      <c r="B887" s="45">
        <v>26600.66</v>
      </c>
      <c r="C887" s="45">
        <v>26600.66</v>
      </c>
      <c r="D887" s="45">
        <v>26600.66</v>
      </c>
      <c r="E887" s="45">
        <v>26600.66</v>
      </c>
      <c r="F887" s="18"/>
      <c r="G887" s="22">
        <v>-4.0000000000000002E-4</v>
      </c>
    </row>
    <row r="888" spans="1:7" x14ac:dyDescent="0.3">
      <c r="A888" s="54">
        <v>45140</v>
      </c>
      <c r="B888" s="45">
        <v>26308.16</v>
      </c>
      <c r="C888" s="45">
        <v>26308.16</v>
      </c>
      <c r="D888" s="45">
        <v>26308.16</v>
      </c>
      <c r="E888" s="45">
        <v>26308.16</v>
      </c>
      <c r="F888" s="18"/>
      <c r="G888" s="22">
        <v>-1.0999999999999999E-2</v>
      </c>
    </row>
    <row r="889" spans="1:7" x14ac:dyDescent="0.3">
      <c r="A889" s="54">
        <v>45141</v>
      </c>
      <c r="B889" s="45">
        <v>26176.98</v>
      </c>
      <c r="C889" s="45">
        <v>26176.98</v>
      </c>
      <c r="D889" s="45">
        <v>26176.98</v>
      </c>
      <c r="E889" s="45">
        <v>26176.98</v>
      </c>
      <c r="F889" s="18"/>
      <c r="G889" s="22">
        <v>-5.0000000000000001E-3</v>
      </c>
    </row>
    <row r="890" spans="1:7" x14ac:dyDescent="0.3">
      <c r="A890" s="54">
        <v>45142</v>
      </c>
      <c r="B890" s="45">
        <v>26362.94</v>
      </c>
      <c r="C890" s="45">
        <v>26362.94</v>
      </c>
      <c r="D890" s="45">
        <v>26362.94</v>
      </c>
      <c r="E890" s="45">
        <v>26362.94</v>
      </c>
      <c r="F890" s="18"/>
      <c r="G890" s="22">
        <v>7.1000000000000004E-3</v>
      </c>
    </row>
    <row r="891" spans="1:7" x14ac:dyDescent="0.3">
      <c r="A891" s="54">
        <v>45145</v>
      </c>
      <c r="B891" s="45">
        <v>26465.57</v>
      </c>
      <c r="C891" s="45">
        <v>26465.57</v>
      </c>
      <c r="D891" s="45">
        <v>26465.57</v>
      </c>
      <c r="E891" s="45">
        <v>26465.57</v>
      </c>
      <c r="F891" s="18"/>
      <c r="G891" s="22">
        <v>3.8999999999999998E-3</v>
      </c>
    </row>
    <row r="892" spans="1:7" x14ac:dyDescent="0.3">
      <c r="A892" s="54">
        <v>45146</v>
      </c>
      <c r="B892" s="45">
        <v>26454.63</v>
      </c>
      <c r="C892" s="45">
        <v>26454.63</v>
      </c>
      <c r="D892" s="45">
        <v>26454.63</v>
      </c>
      <c r="E892" s="45">
        <v>26454.63</v>
      </c>
      <c r="F892" s="18"/>
      <c r="G892" s="22">
        <v>-4.0000000000000002E-4</v>
      </c>
    </row>
    <row r="893" spans="1:7" x14ac:dyDescent="0.3">
      <c r="A893" s="54">
        <v>45147</v>
      </c>
      <c r="B893" s="45">
        <v>26551.16</v>
      </c>
      <c r="C893" s="45">
        <v>26551.16</v>
      </c>
      <c r="D893" s="45">
        <v>26551.16</v>
      </c>
      <c r="E893" s="45">
        <v>26551.16</v>
      </c>
      <c r="F893" s="18"/>
      <c r="G893" s="22">
        <v>3.5999999999999999E-3</v>
      </c>
    </row>
    <row r="894" spans="1:7" x14ac:dyDescent="0.3">
      <c r="A894" s="54">
        <v>45148</v>
      </c>
      <c r="B894" s="45">
        <v>26451.46</v>
      </c>
      <c r="C894" s="45">
        <v>26451.46</v>
      </c>
      <c r="D894" s="45">
        <v>26451.46</v>
      </c>
      <c r="E894" s="45">
        <v>26451.46</v>
      </c>
      <c r="F894" s="18"/>
      <c r="G894" s="22">
        <v>-3.8E-3</v>
      </c>
    </row>
    <row r="895" spans="1:7" x14ac:dyDescent="0.3">
      <c r="A895" s="54">
        <v>45149</v>
      </c>
      <c r="B895" s="45">
        <v>26335.87</v>
      </c>
      <c r="C895" s="45">
        <v>26335.87</v>
      </c>
      <c r="D895" s="45">
        <v>26335.87</v>
      </c>
      <c r="E895" s="45">
        <v>26335.87</v>
      </c>
      <c r="F895" s="18"/>
      <c r="G895" s="22">
        <v>-4.4000000000000003E-3</v>
      </c>
    </row>
    <row r="896" spans="1:7" x14ac:dyDescent="0.3">
      <c r="A896" s="54">
        <v>45152</v>
      </c>
      <c r="B896" s="45">
        <v>26285.200000000001</v>
      </c>
      <c r="C896" s="45">
        <v>26285.200000000001</v>
      </c>
      <c r="D896" s="45">
        <v>26285.200000000001</v>
      </c>
      <c r="E896" s="45">
        <v>26285.200000000001</v>
      </c>
      <c r="F896" s="18"/>
      <c r="G896" s="22">
        <v>-1.9E-3</v>
      </c>
    </row>
    <row r="897" spans="1:7" x14ac:dyDescent="0.3">
      <c r="A897" s="54">
        <v>45154</v>
      </c>
      <c r="B897" s="45">
        <v>26328.16</v>
      </c>
      <c r="C897" s="45">
        <v>26328.16</v>
      </c>
      <c r="D897" s="45">
        <v>26328.16</v>
      </c>
      <c r="E897" s="45">
        <v>26328.16</v>
      </c>
      <c r="F897" s="18"/>
      <c r="G897" s="22">
        <v>1.6000000000000001E-3</v>
      </c>
    </row>
    <row r="898" spans="1:7" x14ac:dyDescent="0.3">
      <c r="A898" s="54">
        <v>45155</v>
      </c>
      <c r="B898" s="45">
        <v>26249.46</v>
      </c>
      <c r="C898" s="45">
        <v>26249.46</v>
      </c>
      <c r="D898" s="45">
        <v>26249.46</v>
      </c>
      <c r="E898" s="45">
        <v>26249.46</v>
      </c>
      <c r="F898" s="18"/>
      <c r="G898" s="22">
        <v>-3.0000000000000001E-3</v>
      </c>
    </row>
    <row r="899" spans="1:7" x14ac:dyDescent="0.3">
      <c r="A899" s="54">
        <v>45156</v>
      </c>
      <c r="B899" s="45">
        <v>26183.37</v>
      </c>
      <c r="C899" s="45">
        <v>26183.37</v>
      </c>
      <c r="D899" s="45">
        <v>26183.37</v>
      </c>
      <c r="E899" s="45">
        <v>26183.37</v>
      </c>
      <c r="F899" s="18"/>
      <c r="G899" s="22">
        <v>-2.5000000000000001E-3</v>
      </c>
    </row>
    <row r="900" spans="1:7" x14ac:dyDescent="0.3">
      <c r="A900" s="54">
        <v>45159</v>
      </c>
      <c r="B900" s="45">
        <v>26337.03</v>
      </c>
      <c r="C900" s="45">
        <v>26337.03</v>
      </c>
      <c r="D900" s="45">
        <v>26337.03</v>
      </c>
      <c r="E900" s="45">
        <v>26337.03</v>
      </c>
      <c r="F900" s="18"/>
      <c r="G900" s="22">
        <v>5.8999999999999999E-3</v>
      </c>
    </row>
    <row r="901" spans="1:7" x14ac:dyDescent="0.3">
      <c r="A901" s="54">
        <v>45160</v>
      </c>
      <c r="B901" s="45">
        <v>26420.68</v>
      </c>
      <c r="C901" s="45">
        <v>26420.68</v>
      </c>
      <c r="D901" s="45">
        <v>26420.68</v>
      </c>
      <c r="E901" s="45">
        <v>26420.68</v>
      </c>
      <c r="F901" s="18"/>
      <c r="G901" s="22">
        <v>3.2000000000000002E-3</v>
      </c>
    </row>
    <row r="902" spans="1:7" x14ac:dyDescent="0.3">
      <c r="A902" s="54">
        <v>45161</v>
      </c>
      <c r="B902" s="45">
        <v>26491.09</v>
      </c>
      <c r="C902" s="45">
        <v>26491.09</v>
      </c>
      <c r="D902" s="45">
        <v>26491.09</v>
      </c>
      <c r="E902" s="45">
        <v>26491.09</v>
      </c>
      <c r="F902" s="18"/>
      <c r="G902" s="22">
        <v>2.7000000000000001E-3</v>
      </c>
    </row>
    <row r="903" spans="1:7" x14ac:dyDescent="0.3">
      <c r="A903" s="54">
        <v>45162</v>
      </c>
      <c r="B903" s="45">
        <v>26459.919999999998</v>
      </c>
      <c r="C903" s="45">
        <v>26459.919999999998</v>
      </c>
      <c r="D903" s="45">
        <v>26459.919999999998</v>
      </c>
      <c r="E903" s="45">
        <v>26459.919999999998</v>
      </c>
      <c r="F903" s="18"/>
      <c r="G903" s="22">
        <v>-1.1999999999999999E-3</v>
      </c>
    </row>
    <row r="904" spans="1:7" x14ac:dyDescent="0.3">
      <c r="A904" s="54">
        <v>45163</v>
      </c>
      <c r="B904" s="45">
        <v>26289.91</v>
      </c>
      <c r="C904" s="45">
        <v>26289.91</v>
      </c>
      <c r="D904" s="45">
        <v>26289.91</v>
      </c>
      <c r="E904" s="45">
        <v>26289.91</v>
      </c>
      <c r="F904" s="18"/>
      <c r="G904" s="22">
        <v>-6.4000000000000003E-3</v>
      </c>
    </row>
    <row r="905" spans="1:7" x14ac:dyDescent="0.3">
      <c r="A905" s="54">
        <v>45166</v>
      </c>
      <c r="B905" s="45">
        <v>26374.959999999999</v>
      </c>
      <c r="C905" s="45">
        <v>26374.959999999999</v>
      </c>
      <c r="D905" s="45">
        <v>26374.959999999999</v>
      </c>
      <c r="E905" s="45">
        <v>26374.959999999999</v>
      </c>
      <c r="F905" s="18"/>
      <c r="G905" s="22">
        <v>3.2000000000000002E-3</v>
      </c>
    </row>
    <row r="906" spans="1:7" x14ac:dyDescent="0.3">
      <c r="A906" s="54">
        <v>45167</v>
      </c>
      <c r="B906" s="45">
        <v>26456.41</v>
      </c>
      <c r="C906" s="45">
        <v>26456.41</v>
      </c>
      <c r="D906" s="45">
        <v>26456.41</v>
      </c>
      <c r="E906" s="45">
        <v>26456.41</v>
      </c>
      <c r="F906" s="18"/>
      <c r="G906" s="22">
        <v>3.0999999999999999E-3</v>
      </c>
    </row>
    <row r="907" spans="1:7" x14ac:dyDescent="0.3">
      <c r="A907" s="54">
        <v>45168</v>
      </c>
      <c r="B907" s="45">
        <v>26521.52</v>
      </c>
      <c r="C907" s="45">
        <v>26521.52</v>
      </c>
      <c r="D907" s="45">
        <v>26521.52</v>
      </c>
      <c r="E907" s="45">
        <v>26521.52</v>
      </c>
      <c r="F907" s="18"/>
      <c r="G907" s="22">
        <v>2.5000000000000001E-3</v>
      </c>
    </row>
    <row r="908" spans="1:7" x14ac:dyDescent="0.3">
      <c r="A908" s="54">
        <v>45169</v>
      </c>
      <c r="B908" s="45">
        <v>26451.77</v>
      </c>
      <c r="C908" s="45">
        <v>26451.77</v>
      </c>
      <c r="D908" s="45">
        <v>26451.77</v>
      </c>
      <c r="E908" s="45">
        <v>26451.77</v>
      </c>
      <c r="F908" s="18"/>
      <c r="G908" s="22">
        <v>-2.5999999999999999E-3</v>
      </c>
    </row>
    <row r="909" spans="1:7" x14ac:dyDescent="0.3">
      <c r="A909" s="54">
        <v>45170</v>
      </c>
      <c r="B909" s="45">
        <v>26687.23</v>
      </c>
      <c r="C909" s="45">
        <v>26687.23</v>
      </c>
      <c r="D909" s="45">
        <v>26687.23</v>
      </c>
      <c r="E909" s="45">
        <v>26687.23</v>
      </c>
      <c r="F909" s="18"/>
      <c r="G909" s="22">
        <v>8.8999999999999999E-3</v>
      </c>
    </row>
    <row r="910" spans="1:7" x14ac:dyDescent="0.3">
      <c r="A910" s="54">
        <v>45173</v>
      </c>
      <c r="B910" s="45">
        <v>26853.57</v>
      </c>
      <c r="C910" s="45">
        <v>26853.57</v>
      </c>
      <c r="D910" s="45">
        <v>26853.57</v>
      </c>
      <c r="E910" s="45">
        <v>26853.57</v>
      </c>
      <c r="F910" s="18"/>
      <c r="G910" s="22">
        <v>6.1999999999999998E-3</v>
      </c>
    </row>
    <row r="911" spans="1:7" x14ac:dyDescent="0.3">
      <c r="A911" s="54">
        <v>45174</v>
      </c>
      <c r="B911" s="45">
        <v>26964.77</v>
      </c>
      <c r="C911" s="45">
        <v>26964.77</v>
      </c>
      <c r="D911" s="45">
        <v>26964.77</v>
      </c>
      <c r="E911" s="45">
        <v>26964.77</v>
      </c>
      <c r="F911" s="18"/>
      <c r="G911" s="22">
        <v>4.1000000000000003E-3</v>
      </c>
    </row>
    <row r="912" spans="1:7" x14ac:dyDescent="0.3">
      <c r="A912" s="54">
        <v>45175</v>
      </c>
      <c r="B912" s="45">
        <v>27015.63</v>
      </c>
      <c r="C912" s="45">
        <v>27015.63</v>
      </c>
      <c r="D912" s="45">
        <v>27015.63</v>
      </c>
      <c r="E912" s="45">
        <v>27015.63</v>
      </c>
      <c r="F912" s="18"/>
      <c r="G912" s="22">
        <v>1.9E-3</v>
      </c>
    </row>
    <row r="913" spans="1:7" x14ac:dyDescent="0.3">
      <c r="A913" s="54">
        <v>45176</v>
      </c>
      <c r="B913" s="45">
        <v>27173.35</v>
      </c>
      <c r="C913" s="45">
        <v>27173.35</v>
      </c>
      <c r="D913" s="45">
        <v>27173.35</v>
      </c>
      <c r="E913" s="45">
        <v>27173.35</v>
      </c>
      <c r="F913" s="18"/>
      <c r="G913" s="22">
        <v>5.7999999999999996E-3</v>
      </c>
    </row>
    <row r="914" spans="1:7" x14ac:dyDescent="0.3">
      <c r="A914" s="54">
        <v>45177</v>
      </c>
      <c r="B914" s="45">
        <v>27333.040000000001</v>
      </c>
      <c r="C914" s="45">
        <v>27333.040000000001</v>
      </c>
      <c r="D914" s="45">
        <v>27333.040000000001</v>
      </c>
      <c r="E914" s="45">
        <v>27333.040000000001</v>
      </c>
      <c r="F914" s="18"/>
      <c r="G914" s="22">
        <v>5.8999999999999999E-3</v>
      </c>
    </row>
    <row r="915" spans="1:7" x14ac:dyDescent="0.3">
      <c r="A915" s="54">
        <v>45180</v>
      </c>
      <c r="B915" s="45">
        <v>27592.63</v>
      </c>
      <c r="C915" s="45">
        <v>27592.63</v>
      </c>
      <c r="D915" s="45">
        <v>27592.63</v>
      </c>
      <c r="E915" s="45">
        <v>27592.63</v>
      </c>
      <c r="F915" s="18"/>
      <c r="G915" s="22">
        <v>9.4999999999999998E-3</v>
      </c>
    </row>
    <row r="916" spans="1:7" x14ac:dyDescent="0.3">
      <c r="A916" s="54">
        <v>45181</v>
      </c>
      <c r="B916" s="45">
        <v>27291.38</v>
      </c>
      <c r="C916" s="45">
        <v>27291.38</v>
      </c>
      <c r="D916" s="45">
        <v>27291.38</v>
      </c>
      <c r="E916" s="45">
        <v>27291.38</v>
      </c>
      <c r="F916" s="18"/>
      <c r="G916" s="22">
        <v>-1.09E-2</v>
      </c>
    </row>
    <row r="917" spans="1:7" x14ac:dyDescent="0.3">
      <c r="A917" s="54">
        <v>45182</v>
      </c>
      <c r="B917" s="45">
        <v>27394.9</v>
      </c>
      <c r="C917" s="45">
        <v>27394.9</v>
      </c>
      <c r="D917" s="45">
        <v>27394.9</v>
      </c>
      <c r="E917" s="45">
        <v>27394.9</v>
      </c>
      <c r="F917" s="18"/>
      <c r="G917" s="22">
        <v>3.8E-3</v>
      </c>
    </row>
    <row r="918" spans="1:7" x14ac:dyDescent="0.3">
      <c r="A918" s="54">
        <v>45183</v>
      </c>
      <c r="B918" s="45">
        <v>27515.02</v>
      </c>
      <c r="C918" s="45">
        <v>27515.02</v>
      </c>
      <c r="D918" s="45">
        <v>27515.02</v>
      </c>
      <c r="E918" s="45">
        <v>27515.02</v>
      </c>
      <c r="F918" s="18"/>
      <c r="G918" s="22">
        <v>4.4000000000000003E-3</v>
      </c>
    </row>
    <row r="919" spans="1:7" x14ac:dyDescent="0.3">
      <c r="A919" s="54">
        <v>45184</v>
      </c>
      <c r="B919" s="45">
        <v>27612.99</v>
      </c>
      <c r="C919" s="45">
        <v>27612.99</v>
      </c>
      <c r="D919" s="45">
        <v>27612.99</v>
      </c>
      <c r="E919" s="45">
        <v>27612.99</v>
      </c>
      <c r="F919" s="18"/>
      <c r="G919" s="22">
        <v>3.5999999999999999E-3</v>
      </c>
    </row>
    <row r="920" spans="1:7" x14ac:dyDescent="0.3">
      <c r="A920" s="54">
        <v>45187</v>
      </c>
      <c r="B920" s="45">
        <v>27531.77</v>
      </c>
      <c r="C920" s="45">
        <v>27531.77</v>
      </c>
      <c r="D920" s="45">
        <v>27531.77</v>
      </c>
      <c r="E920" s="45">
        <v>27531.77</v>
      </c>
      <c r="F920" s="18"/>
      <c r="G920" s="22">
        <v>-2.8999999999999998E-3</v>
      </c>
    </row>
    <row r="921" spans="1:7" x14ac:dyDescent="0.3">
      <c r="A921" s="54">
        <v>45189</v>
      </c>
      <c r="B921" s="45">
        <v>27275.34</v>
      </c>
      <c r="C921" s="45">
        <v>27275.34</v>
      </c>
      <c r="D921" s="45">
        <v>27275.34</v>
      </c>
      <c r="E921" s="45">
        <v>27275.34</v>
      </c>
      <c r="F921" s="18"/>
      <c r="G921" s="22">
        <v>-9.2999999999999992E-3</v>
      </c>
    </row>
    <row r="922" spans="1:7" x14ac:dyDescent="0.3">
      <c r="A922" s="54">
        <v>45190</v>
      </c>
      <c r="B922" s="45">
        <v>27047.52</v>
      </c>
      <c r="C922" s="45">
        <v>27047.52</v>
      </c>
      <c r="D922" s="45">
        <v>27047.52</v>
      </c>
      <c r="E922" s="45">
        <v>27047.52</v>
      </c>
      <c r="F922" s="18"/>
      <c r="G922" s="22">
        <v>-8.3999999999999995E-3</v>
      </c>
    </row>
    <row r="923" spans="1:7" x14ac:dyDescent="0.3">
      <c r="A923" s="54">
        <v>45191</v>
      </c>
      <c r="B923" s="45">
        <v>26981.05</v>
      </c>
      <c r="C923" s="45">
        <v>26981.05</v>
      </c>
      <c r="D923" s="45">
        <v>26981.05</v>
      </c>
      <c r="E923" s="45">
        <v>26981.05</v>
      </c>
      <c r="F923" s="18"/>
      <c r="G923" s="22">
        <v>-2.5000000000000001E-3</v>
      </c>
    </row>
    <row r="924" spans="1:7" x14ac:dyDescent="0.3">
      <c r="A924" s="54">
        <v>45194</v>
      </c>
      <c r="B924" s="45">
        <v>26999.45</v>
      </c>
      <c r="C924" s="45">
        <v>26999.45</v>
      </c>
      <c r="D924" s="45">
        <v>26999.45</v>
      </c>
      <c r="E924" s="45">
        <v>26999.45</v>
      </c>
      <c r="F924" s="18"/>
      <c r="G924" s="22">
        <v>6.9999999999999999E-4</v>
      </c>
    </row>
    <row r="925" spans="1:7" x14ac:dyDescent="0.3">
      <c r="A925" s="54">
        <v>45196</v>
      </c>
      <c r="B925" s="45">
        <v>27107.39</v>
      </c>
      <c r="C925" s="45">
        <v>27107.39</v>
      </c>
      <c r="D925" s="45">
        <v>27107.39</v>
      </c>
      <c r="E925" s="45">
        <v>27107.39</v>
      </c>
      <c r="F925" s="18"/>
      <c r="G925" s="22">
        <v>4.0000000000000001E-3</v>
      </c>
    </row>
    <row r="926" spans="1:7" x14ac:dyDescent="0.3">
      <c r="A926" s="54">
        <v>45197</v>
      </c>
      <c r="B926" s="45">
        <v>26840.81</v>
      </c>
      <c r="C926" s="45">
        <v>26840.81</v>
      </c>
      <c r="D926" s="45">
        <v>26840.81</v>
      </c>
      <c r="E926" s="45">
        <v>26840.81</v>
      </c>
      <c r="F926" s="18"/>
      <c r="G926" s="22">
        <v>-9.7999999999999997E-3</v>
      </c>
    </row>
    <row r="927" spans="1:7" x14ac:dyDescent="0.3">
      <c r="A927" s="54">
        <v>45198</v>
      </c>
      <c r="B927" s="45">
        <v>27031.74</v>
      </c>
      <c r="C927" s="45">
        <v>27031.74</v>
      </c>
      <c r="D927" s="45">
        <v>27031.74</v>
      </c>
      <c r="E927" s="45">
        <v>27031.74</v>
      </c>
      <c r="F927" s="18"/>
      <c r="G927" s="22">
        <v>7.1000000000000004E-3</v>
      </c>
    </row>
    <row r="928" spans="1:7" x14ac:dyDescent="0.3">
      <c r="A928" s="54">
        <v>45202</v>
      </c>
      <c r="B928" s="45">
        <v>26972.02</v>
      </c>
      <c r="C928" s="45">
        <v>26972.02</v>
      </c>
      <c r="D928" s="45">
        <v>26972.02</v>
      </c>
      <c r="E928" s="45">
        <v>26972.02</v>
      </c>
      <c r="F928" s="18"/>
      <c r="G928" s="22">
        <v>-2.2000000000000001E-3</v>
      </c>
    </row>
    <row r="929" spans="1:7" x14ac:dyDescent="0.3">
      <c r="A929" s="54">
        <v>45203</v>
      </c>
      <c r="B929" s="45">
        <v>26766.76</v>
      </c>
      <c r="C929" s="45">
        <v>26766.76</v>
      </c>
      <c r="D929" s="45">
        <v>26766.76</v>
      </c>
      <c r="E929" s="45">
        <v>26766.76</v>
      </c>
      <c r="F929" s="18"/>
      <c r="G929" s="22">
        <v>-7.6E-3</v>
      </c>
    </row>
    <row r="930" spans="1:7" x14ac:dyDescent="0.3">
      <c r="A930" s="54">
        <v>45204</v>
      </c>
      <c r="B930" s="45">
        <v>26880.39</v>
      </c>
      <c r="C930" s="45">
        <v>26880.39</v>
      </c>
      <c r="D930" s="45">
        <v>26880.39</v>
      </c>
      <c r="E930" s="45">
        <v>26880.39</v>
      </c>
      <c r="F930" s="18"/>
      <c r="G930" s="22">
        <v>4.1999999999999997E-3</v>
      </c>
    </row>
    <row r="931" spans="1:7" x14ac:dyDescent="0.3">
      <c r="A931" s="54">
        <v>45205</v>
      </c>
      <c r="B931" s="45">
        <v>27033.29</v>
      </c>
      <c r="C931" s="45">
        <v>27033.29</v>
      </c>
      <c r="D931" s="45">
        <v>27033.29</v>
      </c>
      <c r="E931" s="45">
        <v>27033.29</v>
      </c>
      <c r="F931" s="18"/>
      <c r="G931" s="22">
        <v>5.7000000000000002E-3</v>
      </c>
    </row>
    <row r="932" spans="1:7" x14ac:dyDescent="0.3">
      <c r="A932" s="54">
        <v>45208</v>
      </c>
      <c r="B932" s="45">
        <v>26773.95</v>
      </c>
      <c r="C932" s="45">
        <v>26773.95</v>
      </c>
      <c r="D932" s="45">
        <v>26773.95</v>
      </c>
      <c r="E932" s="45">
        <v>26773.95</v>
      </c>
      <c r="F932" s="18"/>
      <c r="G932" s="22">
        <v>-9.5999999999999992E-3</v>
      </c>
    </row>
    <row r="933" spans="1:7" x14ac:dyDescent="0.3">
      <c r="A933" s="54">
        <v>45209</v>
      </c>
      <c r="B933" s="45">
        <v>27048.54</v>
      </c>
      <c r="C933" s="45">
        <v>27048.54</v>
      </c>
      <c r="D933" s="45">
        <v>27048.54</v>
      </c>
      <c r="E933" s="45">
        <v>27048.54</v>
      </c>
      <c r="F933" s="18"/>
      <c r="G933" s="22">
        <v>1.03E-2</v>
      </c>
    </row>
    <row r="934" spans="1:7" x14ac:dyDescent="0.3">
      <c r="A934" s="54">
        <v>45210</v>
      </c>
      <c r="B934" s="45">
        <v>27211.1</v>
      </c>
      <c r="C934" s="45">
        <v>27211.1</v>
      </c>
      <c r="D934" s="45">
        <v>27211.1</v>
      </c>
      <c r="E934" s="45">
        <v>27211.1</v>
      </c>
      <c r="F934" s="18"/>
      <c r="G934" s="22">
        <v>6.0000000000000001E-3</v>
      </c>
    </row>
    <row r="935" spans="1:7" x14ac:dyDescent="0.3">
      <c r="A935" s="54">
        <v>45211</v>
      </c>
      <c r="B935" s="45">
        <v>27230.45</v>
      </c>
      <c r="C935" s="45">
        <v>27230.45</v>
      </c>
      <c r="D935" s="45">
        <v>27230.45</v>
      </c>
      <c r="E935" s="45">
        <v>27230.45</v>
      </c>
      <c r="F935" s="18"/>
      <c r="G935" s="22">
        <v>6.9999999999999999E-4</v>
      </c>
    </row>
    <row r="936" spans="1:7" x14ac:dyDescent="0.3">
      <c r="A936" s="54">
        <v>45212</v>
      </c>
      <c r="B936" s="45">
        <v>27184.52</v>
      </c>
      <c r="C936" s="45">
        <v>27184.52</v>
      </c>
      <c r="D936" s="45">
        <v>27184.52</v>
      </c>
      <c r="E936" s="45">
        <v>27184.52</v>
      </c>
      <c r="F936" s="18"/>
      <c r="G936" s="22">
        <v>-1.6999999999999999E-3</v>
      </c>
    </row>
    <row r="937" spans="1:7" x14ac:dyDescent="0.3">
      <c r="A937" s="54">
        <v>45215</v>
      </c>
      <c r="B937" s="45">
        <v>27188.68</v>
      </c>
      <c r="C937" s="45">
        <v>27188.68</v>
      </c>
      <c r="D937" s="45">
        <v>27188.68</v>
      </c>
      <c r="E937" s="45">
        <v>27188.68</v>
      </c>
      <c r="F937" s="18"/>
      <c r="G937" s="22">
        <v>2.0000000000000001E-4</v>
      </c>
    </row>
    <row r="938" spans="1:7" x14ac:dyDescent="0.3">
      <c r="A938" s="54">
        <v>45216</v>
      </c>
      <c r="B938" s="45">
        <v>27305.47</v>
      </c>
      <c r="C938" s="45">
        <v>27305.47</v>
      </c>
      <c r="D938" s="45">
        <v>27305.47</v>
      </c>
      <c r="E938" s="45">
        <v>27305.47</v>
      </c>
      <c r="F938" s="18"/>
      <c r="G938" s="22">
        <v>4.3E-3</v>
      </c>
    </row>
    <row r="939" spans="1:7" x14ac:dyDescent="0.3">
      <c r="A939" s="54">
        <v>45217</v>
      </c>
      <c r="B939" s="45">
        <v>27112.09</v>
      </c>
      <c r="C939" s="45">
        <v>27112.09</v>
      </c>
      <c r="D939" s="45">
        <v>27112.09</v>
      </c>
      <c r="E939" s="45">
        <v>27112.09</v>
      </c>
      <c r="F939" s="18"/>
      <c r="G939" s="22">
        <v>-7.1000000000000004E-3</v>
      </c>
    </row>
    <row r="940" spans="1:7" x14ac:dyDescent="0.3">
      <c r="A940" s="54">
        <v>45218</v>
      </c>
      <c r="B940" s="45">
        <v>27061.52</v>
      </c>
      <c r="C940" s="45">
        <v>27061.52</v>
      </c>
      <c r="D940" s="45">
        <v>27061.52</v>
      </c>
      <c r="E940" s="45">
        <v>27061.52</v>
      </c>
      <c r="F940" s="18"/>
      <c r="G940" s="22">
        <v>-1.9E-3</v>
      </c>
    </row>
    <row r="941" spans="1:7" x14ac:dyDescent="0.3">
      <c r="A941" s="54">
        <v>45219</v>
      </c>
      <c r="B941" s="45">
        <v>26905.17</v>
      </c>
      <c r="C941" s="45">
        <v>26905.17</v>
      </c>
      <c r="D941" s="45">
        <v>26905.17</v>
      </c>
      <c r="E941" s="45">
        <v>26905.17</v>
      </c>
      <c r="F941" s="18"/>
      <c r="G941" s="22">
        <v>-5.7999999999999996E-3</v>
      </c>
    </row>
    <row r="942" spans="1:7" x14ac:dyDescent="0.3">
      <c r="A942" s="54">
        <v>45222</v>
      </c>
      <c r="B942" s="45">
        <v>26404.83</v>
      </c>
      <c r="C942" s="45">
        <v>26404.83</v>
      </c>
      <c r="D942" s="45">
        <v>26404.83</v>
      </c>
      <c r="E942" s="45">
        <v>26404.83</v>
      </c>
      <c r="F942" s="18"/>
      <c r="G942" s="22">
        <v>-1.8599999999999998E-2</v>
      </c>
    </row>
    <row r="943" spans="1:7" x14ac:dyDescent="0.3">
      <c r="A943" s="54">
        <v>45224</v>
      </c>
      <c r="B943" s="45">
        <v>26217.58</v>
      </c>
      <c r="C943" s="45">
        <v>26217.58</v>
      </c>
      <c r="D943" s="45">
        <v>26217.58</v>
      </c>
      <c r="E943" s="45">
        <v>26217.58</v>
      </c>
      <c r="F943" s="18"/>
      <c r="G943" s="22">
        <v>-7.1000000000000004E-3</v>
      </c>
    </row>
    <row r="944" spans="1:7" x14ac:dyDescent="0.3">
      <c r="A944" s="54">
        <v>45225</v>
      </c>
      <c r="B944" s="45">
        <v>25896.34</v>
      </c>
      <c r="C944" s="45">
        <v>25896.34</v>
      </c>
      <c r="D944" s="45">
        <v>25896.34</v>
      </c>
      <c r="E944" s="45">
        <v>25896.34</v>
      </c>
      <c r="F944" s="18"/>
      <c r="G944" s="22">
        <v>-1.23E-2</v>
      </c>
    </row>
    <row r="945" spans="1:7" x14ac:dyDescent="0.3">
      <c r="A945" s="54">
        <v>45226</v>
      </c>
      <c r="B945" s="45">
        <v>26225.88</v>
      </c>
      <c r="C945" s="45">
        <v>26225.88</v>
      </c>
      <c r="D945" s="45">
        <v>26225.88</v>
      </c>
      <c r="E945" s="45">
        <v>26225.88</v>
      </c>
      <c r="F945" s="18"/>
      <c r="G945" s="22">
        <v>1.2699999999999999E-2</v>
      </c>
    </row>
    <row r="946" spans="1:7" x14ac:dyDescent="0.3">
      <c r="A946" s="54">
        <v>45229</v>
      </c>
      <c r="B946" s="45">
        <v>26320.74</v>
      </c>
      <c r="C946" s="45">
        <v>26320.74</v>
      </c>
      <c r="D946" s="45">
        <v>26320.74</v>
      </c>
      <c r="E946" s="45">
        <v>26320.74</v>
      </c>
      <c r="F946" s="18"/>
      <c r="G946" s="22">
        <v>3.5999999999999999E-3</v>
      </c>
    </row>
    <row r="947" spans="1:7" x14ac:dyDescent="0.3">
      <c r="A947" s="54">
        <v>45230</v>
      </c>
      <c r="B947" s="45">
        <v>26281.759999999998</v>
      </c>
      <c r="C947" s="45">
        <v>26281.759999999998</v>
      </c>
      <c r="D947" s="45">
        <v>26281.759999999998</v>
      </c>
      <c r="E947" s="45">
        <v>26281.759999999998</v>
      </c>
      <c r="F947" s="18"/>
      <c r="G947" s="22">
        <v>-1.5E-3</v>
      </c>
    </row>
    <row r="948" spans="1:7" x14ac:dyDescent="0.3">
      <c r="A948" s="54">
        <v>45231</v>
      </c>
      <c r="B948" s="45">
        <v>26176.34</v>
      </c>
      <c r="C948" s="45">
        <v>26176.34</v>
      </c>
      <c r="D948" s="45">
        <v>26176.34</v>
      </c>
      <c r="E948" s="45">
        <v>26176.34</v>
      </c>
      <c r="F948" s="18"/>
      <c r="G948" s="22">
        <v>-4.0000000000000001E-3</v>
      </c>
    </row>
    <row r="949" spans="1:7" x14ac:dyDescent="0.3">
      <c r="A949" s="54">
        <v>45232</v>
      </c>
      <c r="B949" s="45">
        <v>26428.25</v>
      </c>
      <c r="C949" s="45">
        <v>26428.25</v>
      </c>
      <c r="D949" s="45">
        <v>26428.25</v>
      </c>
      <c r="E949" s="45">
        <v>26428.25</v>
      </c>
      <c r="F949" s="18"/>
      <c r="G949" s="22">
        <v>9.5999999999999992E-3</v>
      </c>
    </row>
    <row r="950" spans="1:7" x14ac:dyDescent="0.3">
      <c r="A950" s="54">
        <v>45233</v>
      </c>
      <c r="B950" s="45">
        <v>26603.200000000001</v>
      </c>
      <c r="C950" s="45">
        <v>26603.200000000001</v>
      </c>
      <c r="D950" s="45">
        <v>26603.200000000001</v>
      </c>
      <c r="E950" s="45">
        <v>26603.200000000001</v>
      </c>
      <c r="F950" s="18"/>
      <c r="G950" s="22">
        <v>6.6E-3</v>
      </c>
    </row>
    <row r="951" spans="1:7" x14ac:dyDescent="0.3">
      <c r="A951" s="54">
        <v>45236</v>
      </c>
      <c r="B951" s="45">
        <v>26852.91</v>
      </c>
      <c r="C951" s="45">
        <v>26852.91</v>
      </c>
      <c r="D951" s="45">
        <v>26852.91</v>
      </c>
      <c r="E951" s="45">
        <v>26852.91</v>
      </c>
      <c r="F951" s="18"/>
      <c r="G951" s="22">
        <v>9.4000000000000004E-3</v>
      </c>
    </row>
    <row r="952" spans="1:7" x14ac:dyDescent="0.3">
      <c r="A952" s="54">
        <v>45237</v>
      </c>
      <c r="B952" s="45">
        <v>26897.88</v>
      </c>
      <c r="C952" s="45">
        <v>26897.88</v>
      </c>
      <c r="D952" s="45">
        <v>26897.88</v>
      </c>
      <c r="E952" s="45">
        <v>26897.88</v>
      </c>
      <c r="F952" s="18"/>
      <c r="G952" s="22">
        <v>1.6999999999999999E-3</v>
      </c>
    </row>
    <row r="953" spans="1:7" x14ac:dyDescent="0.3">
      <c r="A953" s="54">
        <v>45238</v>
      </c>
      <c r="B953" s="45">
        <v>27010.76</v>
      </c>
      <c r="C953" s="45">
        <v>27010.76</v>
      </c>
      <c r="D953" s="45">
        <v>27010.76</v>
      </c>
      <c r="E953" s="45">
        <v>27010.76</v>
      </c>
      <c r="F953" s="18"/>
      <c r="G953" s="22">
        <v>4.1999999999999997E-3</v>
      </c>
    </row>
    <row r="954" spans="1:7" x14ac:dyDescent="0.3">
      <c r="A954" s="54">
        <v>45239</v>
      </c>
      <c r="B954" s="45">
        <v>26947.4</v>
      </c>
      <c r="C954" s="45">
        <v>26947.4</v>
      </c>
      <c r="D954" s="45">
        <v>26947.4</v>
      </c>
      <c r="E954" s="45">
        <v>26947.4</v>
      </c>
      <c r="F954" s="18"/>
      <c r="G954" s="22">
        <v>-2.3E-3</v>
      </c>
    </row>
    <row r="955" spans="1:7" x14ac:dyDescent="0.3">
      <c r="A955" s="54">
        <v>45240</v>
      </c>
      <c r="B955" s="45">
        <v>27007.31</v>
      </c>
      <c r="C955" s="45">
        <v>27007.31</v>
      </c>
      <c r="D955" s="45">
        <v>27007.31</v>
      </c>
      <c r="E955" s="45">
        <v>27007.31</v>
      </c>
      <c r="F955" s="18"/>
      <c r="G955" s="22">
        <v>2.2000000000000001E-3</v>
      </c>
    </row>
    <row r="956" spans="1:7" x14ac:dyDescent="0.3">
      <c r="A956" s="54">
        <v>45242</v>
      </c>
      <c r="B956" s="45">
        <v>27170.84</v>
      </c>
      <c r="C956" s="45">
        <v>27170.84</v>
      </c>
      <c r="D956" s="45">
        <v>27170.84</v>
      </c>
      <c r="E956" s="45">
        <v>27170.84</v>
      </c>
      <c r="F956" s="18"/>
      <c r="G956" s="22">
        <v>6.1000000000000004E-3</v>
      </c>
    </row>
    <row r="957" spans="1:7" x14ac:dyDescent="0.3">
      <c r="A957" s="54">
        <v>45243</v>
      </c>
      <c r="B957" s="45">
        <v>27105.14</v>
      </c>
      <c r="C957" s="45">
        <v>27105.14</v>
      </c>
      <c r="D957" s="45">
        <v>27105.14</v>
      </c>
      <c r="E957" s="45">
        <v>27105.14</v>
      </c>
      <c r="F957" s="18"/>
      <c r="G957" s="22">
        <v>-2.3999999999999998E-3</v>
      </c>
    </row>
    <row r="958" spans="1:7" x14ac:dyDescent="0.3">
      <c r="A958" s="54">
        <v>45245</v>
      </c>
      <c r="B958" s="45">
        <v>27402.22</v>
      </c>
      <c r="C958" s="45">
        <v>27402.22</v>
      </c>
      <c r="D958" s="45">
        <v>27402.22</v>
      </c>
      <c r="E958" s="45">
        <v>27402.22</v>
      </c>
      <c r="F958" s="18"/>
      <c r="G958" s="22">
        <v>1.0999999999999999E-2</v>
      </c>
    </row>
    <row r="959" spans="1:7" x14ac:dyDescent="0.3">
      <c r="A959" s="54">
        <v>45246</v>
      </c>
      <c r="B959" s="45">
        <v>27539.17</v>
      </c>
      <c r="C959" s="45">
        <v>27539.17</v>
      </c>
      <c r="D959" s="45">
        <v>27539.17</v>
      </c>
      <c r="E959" s="45">
        <v>27539.17</v>
      </c>
      <c r="F959" s="18"/>
      <c r="G959" s="22">
        <v>5.0000000000000001E-3</v>
      </c>
    </row>
    <row r="960" spans="1:7" x14ac:dyDescent="0.3">
      <c r="A960" s="54">
        <v>45247</v>
      </c>
      <c r="B960" s="45">
        <v>27551.74</v>
      </c>
      <c r="C960" s="45">
        <v>27551.74</v>
      </c>
      <c r="D960" s="45">
        <v>27551.74</v>
      </c>
      <c r="E960" s="45">
        <v>27551.74</v>
      </c>
      <c r="F960" s="18"/>
      <c r="G960" s="22">
        <v>5.0000000000000001E-4</v>
      </c>
    </row>
    <row r="961" spans="1:7" x14ac:dyDescent="0.3">
      <c r="A961" s="54">
        <v>45250</v>
      </c>
      <c r="B961" s="45">
        <v>27510.09</v>
      </c>
      <c r="C961" s="45">
        <v>27510.09</v>
      </c>
      <c r="D961" s="45">
        <v>27510.09</v>
      </c>
      <c r="E961" s="45">
        <v>27510.09</v>
      </c>
      <c r="F961" s="18"/>
      <c r="G961" s="22">
        <v>-1.5E-3</v>
      </c>
    </row>
    <row r="962" spans="1:7" x14ac:dyDescent="0.3">
      <c r="A962" s="54">
        <v>45251</v>
      </c>
      <c r="B962" s="45">
        <v>27594.87</v>
      </c>
      <c r="C962" s="45">
        <v>27594.87</v>
      </c>
      <c r="D962" s="45">
        <v>27594.87</v>
      </c>
      <c r="E962" s="45">
        <v>27594.87</v>
      </c>
      <c r="F962" s="18"/>
      <c r="G962" s="22">
        <v>3.0999999999999999E-3</v>
      </c>
    </row>
    <row r="963" spans="1:7" x14ac:dyDescent="0.3">
      <c r="A963" s="54">
        <v>45252</v>
      </c>
      <c r="B963" s="45">
        <v>27595.66</v>
      </c>
      <c r="C963" s="45">
        <v>27595.66</v>
      </c>
      <c r="D963" s="45">
        <v>27595.66</v>
      </c>
      <c r="E963" s="45">
        <v>27595.66</v>
      </c>
      <c r="F963" s="18"/>
      <c r="G963" s="22">
        <v>0</v>
      </c>
    </row>
    <row r="964" spans="1:7" x14ac:dyDescent="0.3">
      <c r="A964" s="54">
        <v>45253</v>
      </c>
      <c r="B964" s="45">
        <v>27614.05</v>
      </c>
      <c r="C964" s="45">
        <v>27614.05</v>
      </c>
      <c r="D964" s="45">
        <v>27614.05</v>
      </c>
      <c r="E964" s="45">
        <v>27614.05</v>
      </c>
      <c r="F964" s="18"/>
      <c r="G964" s="22">
        <v>6.9999999999999999E-4</v>
      </c>
    </row>
    <row r="965" spans="1:7" x14ac:dyDescent="0.3">
      <c r="A965" s="54">
        <v>45254</v>
      </c>
      <c r="B965" s="45">
        <v>27621.9</v>
      </c>
      <c r="C965" s="45">
        <v>27621.9</v>
      </c>
      <c r="D965" s="45">
        <v>27621.9</v>
      </c>
      <c r="E965" s="45">
        <v>27621.9</v>
      </c>
      <c r="F965" s="18"/>
      <c r="G965" s="22">
        <v>2.9999999999999997E-4</v>
      </c>
    </row>
    <row r="966" spans="1:7" x14ac:dyDescent="0.3">
      <c r="A966" s="54">
        <v>45258</v>
      </c>
      <c r="B966" s="45">
        <v>27775.75</v>
      </c>
      <c r="C966" s="45">
        <v>27775.75</v>
      </c>
      <c r="D966" s="45">
        <v>27775.75</v>
      </c>
      <c r="E966" s="45">
        <v>27775.75</v>
      </c>
      <c r="F966" s="18"/>
      <c r="G966" s="22">
        <v>5.5999999999999999E-3</v>
      </c>
    </row>
    <row r="967" spans="1:7" x14ac:dyDescent="0.3">
      <c r="A967" s="54">
        <v>45259</v>
      </c>
      <c r="B967" s="45">
        <v>28029.82</v>
      </c>
      <c r="C967" s="45">
        <v>28029.82</v>
      </c>
      <c r="D967" s="45">
        <v>28029.82</v>
      </c>
      <c r="E967" s="45">
        <v>28029.82</v>
      </c>
      <c r="F967" s="18"/>
      <c r="G967" s="22">
        <v>9.1000000000000004E-3</v>
      </c>
    </row>
    <row r="968" spans="1:7" x14ac:dyDescent="0.3">
      <c r="A968" s="54">
        <v>45260</v>
      </c>
      <c r="B968" s="45">
        <v>28161.16</v>
      </c>
      <c r="C968" s="45">
        <v>28161.16</v>
      </c>
      <c r="D968" s="45">
        <v>28161.16</v>
      </c>
      <c r="E968" s="45">
        <v>28161.16</v>
      </c>
      <c r="F968" s="18"/>
      <c r="G968" s="22">
        <v>4.7000000000000002E-3</v>
      </c>
    </row>
    <row r="969" spans="1:7" x14ac:dyDescent="0.3">
      <c r="A969" s="54">
        <v>45261</v>
      </c>
      <c r="B969" s="45">
        <v>28360.55</v>
      </c>
      <c r="C969" s="45">
        <v>28360.55</v>
      </c>
      <c r="D969" s="45">
        <v>28360.55</v>
      </c>
      <c r="E969" s="45">
        <v>28360.55</v>
      </c>
      <c r="F969" s="18"/>
      <c r="G969" s="22">
        <v>7.1000000000000004E-3</v>
      </c>
    </row>
    <row r="970" spans="1:7" x14ac:dyDescent="0.3">
      <c r="A970" s="54">
        <v>45264</v>
      </c>
      <c r="B970" s="45">
        <v>28882.17</v>
      </c>
      <c r="C970" s="45">
        <v>28882.17</v>
      </c>
      <c r="D970" s="45">
        <v>28882.17</v>
      </c>
      <c r="E970" s="45">
        <v>28882.17</v>
      </c>
      <c r="F970" s="18"/>
      <c r="G970" s="22">
        <v>1.84E-2</v>
      </c>
    </row>
    <row r="971" spans="1:7" x14ac:dyDescent="0.3">
      <c r="A971" s="54">
        <v>45265</v>
      </c>
      <c r="B971" s="45">
        <v>29101.4</v>
      </c>
      <c r="C971" s="45">
        <v>29101.4</v>
      </c>
      <c r="D971" s="45">
        <v>29101.4</v>
      </c>
      <c r="E971" s="45">
        <v>29101.4</v>
      </c>
      <c r="F971" s="18"/>
      <c r="G971" s="22">
        <v>7.6E-3</v>
      </c>
    </row>
    <row r="972" spans="1:7" x14ac:dyDescent="0.3">
      <c r="A972" s="54">
        <v>45266</v>
      </c>
      <c r="B972" s="45">
        <v>29244.57</v>
      </c>
      <c r="C972" s="45">
        <v>29244.57</v>
      </c>
      <c r="D972" s="45">
        <v>29244.57</v>
      </c>
      <c r="E972" s="45">
        <v>29244.57</v>
      </c>
      <c r="F972" s="18"/>
      <c r="G972" s="22">
        <v>4.8999999999999998E-3</v>
      </c>
    </row>
    <row r="973" spans="1:7" x14ac:dyDescent="0.3">
      <c r="A973" s="54">
        <v>45267</v>
      </c>
      <c r="B973" s="45">
        <v>29281.91</v>
      </c>
      <c r="C973" s="45">
        <v>29281.91</v>
      </c>
      <c r="D973" s="45">
        <v>29281.91</v>
      </c>
      <c r="E973" s="45">
        <v>29281.91</v>
      </c>
      <c r="F973" s="18"/>
      <c r="G973" s="22">
        <v>1.2999999999999999E-3</v>
      </c>
    </row>
    <row r="974" spans="1:7" x14ac:dyDescent="0.3">
      <c r="A974" s="54">
        <v>45268</v>
      </c>
      <c r="B974" s="45">
        <v>29281.34</v>
      </c>
      <c r="C974" s="45">
        <v>29281.34</v>
      </c>
      <c r="D974" s="45">
        <v>29281.34</v>
      </c>
      <c r="E974" s="45">
        <v>29281.34</v>
      </c>
      <c r="F974" s="18"/>
      <c r="G974" s="22">
        <v>0</v>
      </c>
    </row>
    <row r="975" spans="1:7" x14ac:dyDescent="0.3">
      <c r="A975" s="54">
        <v>45271</v>
      </c>
      <c r="B975" s="45">
        <v>29385.81</v>
      </c>
      <c r="C975" s="45">
        <v>29385.81</v>
      </c>
      <c r="D975" s="45">
        <v>29385.81</v>
      </c>
      <c r="E975" s="45">
        <v>29385.81</v>
      </c>
      <c r="F975" s="18"/>
      <c r="G975" s="22">
        <v>3.5999999999999999E-3</v>
      </c>
    </row>
    <row r="976" spans="1:7" x14ac:dyDescent="0.3">
      <c r="A976" s="54">
        <v>45272</v>
      </c>
      <c r="B976" s="45">
        <v>29255.200000000001</v>
      </c>
      <c r="C976" s="45">
        <v>29255.200000000001</v>
      </c>
      <c r="D976" s="45">
        <v>29255.200000000001</v>
      </c>
      <c r="E976" s="45">
        <v>29255.200000000001</v>
      </c>
      <c r="F976" s="18"/>
      <c r="G976" s="22">
        <v>-4.4000000000000003E-3</v>
      </c>
    </row>
    <row r="977" spans="1:7" x14ac:dyDescent="0.3">
      <c r="A977" s="54">
        <v>45273</v>
      </c>
      <c r="B977" s="45">
        <v>29356.39</v>
      </c>
      <c r="C977" s="45">
        <v>29356.39</v>
      </c>
      <c r="D977" s="45">
        <v>29356.39</v>
      </c>
      <c r="E977" s="45">
        <v>29356.39</v>
      </c>
      <c r="F977" s="18"/>
      <c r="G977" s="22">
        <v>3.5000000000000001E-3</v>
      </c>
    </row>
    <row r="978" spans="1:7" x14ac:dyDescent="0.3">
      <c r="A978" s="54">
        <v>45274</v>
      </c>
      <c r="B978" s="45">
        <v>29704.91</v>
      </c>
      <c r="C978" s="45">
        <v>29704.91</v>
      </c>
      <c r="D978" s="45">
        <v>29704.91</v>
      </c>
      <c r="E978" s="45">
        <v>29704.91</v>
      </c>
      <c r="F978" s="18"/>
      <c r="G978" s="22">
        <v>1.1900000000000001E-2</v>
      </c>
    </row>
    <row r="979" spans="1:7" x14ac:dyDescent="0.3">
      <c r="A979" s="54">
        <v>45275</v>
      </c>
      <c r="B979" s="45">
        <v>29972.97</v>
      </c>
      <c r="C979" s="45">
        <v>29972.97</v>
      </c>
      <c r="D979" s="45">
        <v>29972.97</v>
      </c>
      <c r="E979" s="45">
        <v>29972.97</v>
      </c>
      <c r="F979" s="18"/>
      <c r="G979" s="22">
        <v>8.9999999999999993E-3</v>
      </c>
    </row>
    <row r="980" spans="1:7" x14ac:dyDescent="0.3">
      <c r="A980" s="54">
        <v>45278</v>
      </c>
      <c r="B980" s="45">
        <v>29989.39</v>
      </c>
      <c r="C980" s="45">
        <v>29989.39</v>
      </c>
      <c r="D980" s="45">
        <v>29989.39</v>
      </c>
      <c r="E980" s="45">
        <v>29989.39</v>
      </c>
      <c r="F980" s="18"/>
      <c r="G980" s="22">
        <v>5.0000000000000001E-4</v>
      </c>
    </row>
    <row r="981" spans="1:7" x14ac:dyDescent="0.3">
      <c r="A981" s="54">
        <v>45279</v>
      </c>
      <c r="B981" s="45">
        <v>30010.85</v>
      </c>
      <c r="C981" s="45">
        <v>30010.85</v>
      </c>
      <c r="D981" s="45">
        <v>30010.85</v>
      </c>
      <c r="E981" s="45">
        <v>30010.85</v>
      </c>
      <c r="F981" s="18"/>
      <c r="G981" s="22">
        <v>6.9999999999999999E-4</v>
      </c>
    </row>
    <row r="982" spans="1:7" x14ac:dyDescent="0.3">
      <c r="A982" s="54">
        <v>45280</v>
      </c>
      <c r="B982" s="45">
        <v>29400.59</v>
      </c>
      <c r="C982" s="45">
        <v>29400.59</v>
      </c>
      <c r="D982" s="45">
        <v>29400.59</v>
      </c>
      <c r="E982" s="45">
        <v>29400.59</v>
      </c>
      <c r="F982" s="18"/>
      <c r="G982" s="22">
        <v>-2.0299999999999999E-2</v>
      </c>
    </row>
    <row r="983" spans="1:7" x14ac:dyDescent="0.3">
      <c r="A983" s="54">
        <v>45281</v>
      </c>
      <c r="B983" s="45">
        <v>29654.71</v>
      </c>
      <c r="C983" s="45">
        <v>29654.71</v>
      </c>
      <c r="D983" s="45">
        <v>29654.71</v>
      </c>
      <c r="E983" s="45">
        <v>29654.71</v>
      </c>
      <c r="F983" s="18"/>
      <c r="G983" s="22">
        <v>8.6E-3</v>
      </c>
    </row>
    <row r="984" spans="1:7" x14ac:dyDescent="0.3">
      <c r="A984" s="54">
        <v>45282</v>
      </c>
      <c r="B984" s="45">
        <v>29831.49</v>
      </c>
      <c r="C984" s="45">
        <v>29831.49</v>
      </c>
      <c r="D984" s="45">
        <v>29831.49</v>
      </c>
      <c r="E984" s="45">
        <v>29831.49</v>
      </c>
      <c r="F984" s="18"/>
      <c r="G984" s="22">
        <v>6.0000000000000001E-3</v>
      </c>
    </row>
    <row r="985" spans="1:7" x14ac:dyDescent="0.3">
      <c r="A985" s="54">
        <v>45286</v>
      </c>
      <c r="B985" s="45">
        <v>29978.9</v>
      </c>
      <c r="C985" s="45">
        <v>29978.9</v>
      </c>
      <c r="D985" s="45">
        <v>29978.9</v>
      </c>
      <c r="E985" s="45">
        <v>29978.9</v>
      </c>
      <c r="F985" s="18"/>
      <c r="G985" s="22">
        <v>4.8999999999999998E-3</v>
      </c>
    </row>
    <row r="986" spans="1:7" x14ac:dyDescent="0.3">
      <c r="A986" s="54">
        <v>45287</v>
      </c>
      <c r="B986" s="45">
        <v>30210.78</v>
      </c>
      <c r="C986" s="45">
        <v>30210.78</v>
      </c>
      <c r="D986" s="45">
        <v>30210.78</v>
      </c>
      <c r="E986" s="45">
        <v>30210.78</v>
      </c>
      <c r="F986" s="18"/>
      <c r="G986" s="22">
        <v>7.7000000000000002E-3</v>
      </c>
    </row>
    <row r="987" spans="1:7" x14ac:dyDescent="0.3">
      <c r="A987" s="54">
        <v>45288</v>
      </c>
      <c r="B987" s="45">
        <v>30370.94</v>
      </c>
      <c r="C987" s="45">
        <v>30370.94</v>
      </c>
      <c r="D987" s="45">
        <v>30370.94</v>
      </c>
      <c r="E987" s="45">
        <v>30370.94</v>
      </c>
      <c r="F987" s="18"/>
      <c r="G987" s="22">
        <v>5.3E-3</v>
      </c>
    </row>
    <row r="988" spans="1:7" x14ac:dyDescent="0.3">
      <c r="A988" s="54">
        <v>45289</v>
      </c>
      <c r="B988" s="45">
        <v>30417.8</v>
      </c>
      <c r="C988" s="45">
        <v>30417.8</v>
      </c>
      <c r="D988" s="45">
        <v>30417.8</v>
      </c>
      <c r="E988" s="45">
        <v>30417.8</v>
      </c>
      <c r="F988" s="18"/>
      <c r="G988" s="22">
        <v>1.5E-3</v>
      </c>
    </row>
    <row r="989" spans="1:7" x14ac:dyDescent="0.3">
      <c r="A989" s="54">
        <v>45293</v>
      </c>
      <c r="B989" s="45">
        <v>30400.92</v>
      </c>
      <c r="C989" s="45">
        <v>30400.92</v>
      </c>
      <c r="D989" s="45">
        <v>30400.92</v>
      </c>
      <c r="E989" s="45">
        <v>30400.92</v>
      </c>
      <c r="F989" s="18"/>
      <c r="G989" s="22">
        <v>-5.9999999999999995E-4</v>
      </c>
    </row>
    <row r="990" spans="1:7" x14ac:dyDescent="0.3">
      <c r="A990" s="54">
        <v>45294</v>
      </c>
      <c r="B990" s="45">
        <v>30320.7</v>
      </c>
      <c r="C990" s="45">
        <v>30320.7</v>
      </c>
      <c r="D990" s="45">
        <v>30320.7</v>
      </c>
      <c r="E990" s="45">
        <v>30320.7</v>
      </c>
      <c r="F990" s="18"/>
      <c r="G990" s="22">
        <v>-2.5999999999999999E-3</v>
      </c>
    </row>
    <row r="991" spans="1:7" x14ac:dyDescent="0.3">
      <c r="A991" s="54">
        <v>45295</v>
      </c>
      <c r="B991" s="45">
        <v>30593.27</v>
      </c>
      <c r="C991" s="45">
        <v>30593.27</v>
      </c>
      <c r="D991" s="45">
        <v>30593.27</v>
      </c>
      <c r="E991" s="45">
        <v>30593.27</v>
      </c>
      <c r="F991" s="18"/>
      <c r="G991" s="22">
        <v>8.9999999999999993E-3</v>
      </c>
    </row>
    <row r="992" spans="1:7" x14ac:dyDescent="0.3">
      <c r="A992" s="54">
        <v>45296</v>
      </c>
      <c r="B992" s="45">
        <v>30670.51</v>
      </c>
      <c r="C992" s="45">
        <v>30670.51</v>
      </c>
      <c r="D992" s="45">
        <v>30670.51</v>
      </c>
      <c r="E992" s="45">
        <v>30670.51</v>
      </c>
      <c r="F992" s="18"/>
      <c r="G992" s="22">
        <v>2.5000000000000001E-3</v>
      </c>
    </row>
    <row r="993" spans="1:7" x14ac:dyDescent="0.3">
      <c r="A993" s="54">
        <v>45299</v>
      </c>
      <c r="B993" s="45">
        <v>30399.86</v>
      </c>
      <c r="C993" s="45">
        <v>30399.86</v>
      </c>
      <c r="D993" s="45">
        <v>30399.86</v>
      </c>
      <c r="E993" s="45">
        <v>30399.86</v>
      </c>
      <c r="F993" s="18"/>
      <c r="G993" s="22">
        <v>-8.8000000000000005E-3</v>
      </c>
    </row>
    <row r="994" spans="1:7" x14ac:dyDescent="0.3">
      <c r="A994" s="54">
        <v>45300</v>
      </c>
      <c r="B994" s="45">
        <v>30465.39</v>
      </c>
      <c r="C994" s="45">
        <v>30465.39</v>
      </c>
      <c r="D994" s="45">
        <v>30465.39</v>
      </c>
      <c r="E994" s="45">
        <v>30465.39</v>
      </c>
      <c r="F994" s="18"/>
      <c r="G994" s="22">
        <v>2.2000000000000001E-3</v>
      </c>
    </row>
    <row r="995" spans="1:7" x14ac:dyDescent="0.3">
      <c r="A995" s="54">
        <v>45301</v>
      </c>
      <c r="B995" s="45">
        <v>30556.65</v>
      </c>
      <c r="C995" s="45">
        <v>30556.65</v>
      </c>
      <c r="D995" s="45">
        <v>30556.65</v>
      </c>
      <c r="E995" s="45">
        <v>30556.65</v>
      </c>
      <c r="F995" s="18"/>
      <c r="G995" s="22">
        <v>3.0000000000000001E-3</v>
      </c>
    </row>
    <row r="996" spans="1:7" x14ac:dyDescent="0.3">
      <c r="A996" s="54">
        <v>45302</v>
      </c>
      <c r="B996" s="45">
        <v>30660.78</v>
      </c>
      <c r="C996" s="45">
        <v>30660.78</v>
      </c>
      <c r="D996" s="45">
        <v>30660.78</v>
      </c>
      <c r="E996" s="45">
        <v>30660.78</v>
      </c>
      <c r="F996" s="18"/>
      <c r="G996" s="22">
        <v>3.3999999999999998E-3</v>
      </c>
    </row>
    <row r="997" spans="1:7" x14ac:dyDescent="0.3">
      <c r="A997" s="54">
        <v>45303</v>
      </c>
      <c r="B997" s="45">
        <v>30913.19</v>
      </c>
      <c r="C997" s="45">
        <v>30913.19</v>
      </c>
      <c r="D997" s="45">
        <v>30913.19</v>
      </c>
      <c r="E997" s="45">
        <v>30913.19</v>
      </c>
      <c r="F997" s="18"/>
      <c r="G997" s="22">
        <v>8.2000000000000007E-3</v>
      </c>
    </row>
    <row r="998" spans="1:7" x14ac:dyDescent="0.3">
      <c r="A998" s="54">
        <v>45306</v>
      </c>
      <c r="B998" s="45">
        <v>31132.31</v>
      </c>
      <c r="C998" s="45">
        <v>31132.31</v>
      </c>
      <c r="D998" s="45">
        <v>31132.31</v>
      </c>
      <c r="E998" s="45">
        <v>31132.31</v>
      </c>
      <c r="F998" s="18"/>
      <c r="G998" s="22">
        <v>7.1000000000000004E-3</v>
      </c>
    </row>
    <row r="999" spans="1:7" x14ac:dyDescent="0.3">
      <c r="A999" s="54">
        <v>45307</v>
      </c>
      <c r="B999" s="45">
        <v>31041.51</v>
      </c>
      <c r="C999" s="45">
        <v>31041.51</v>
      </c>
      <c r="D999" s="45">
        <v>31041.51</v>
      </c>
      <c r="E999" s="45">
        <v>31041.51</v>
      </c>
      <c r="F999" s="18"/>
      <c r="G999" s="22">
        <v>-2.8999999999999998E-3</v>
      </c>
    </row>
    <row r="1000" spans="1:7" x14ac:dyDescent="0.3">
      <c r="A1000" s="54">
        <v>45308</v>
      </c>
      <c r="B1000" s="45">
        <v>30509.29</v>
      </c>
      <c r="C1000" s="45">
        <v>30509.29</v>
      </c>
      <c r="D1000" s="45">
        <v>30509.29</v>
      </c>
      <c r="E1000" s="45">
        <v>30509.29</v>
      </c>
      <c r="F1000" s="18"/>
      <c r="G1000" s="22">
        <v>-1.7100000000000001E-2</v>
      </c>
    </row>
    <row r="1001" spans="1:7" x14ac:dyDescent="0.3">
      <c r="A1001" s="54">
        <v>45309</v>
      </c>
      <c r="B1001" s="45">
        <v>30395.29</v>
      </c>
      <c r="C1001" s="45">
        <v>30395.29</v>
      </c>
      <c r="D1001" s="45">
        <v>30395.29</v>
      </c>
      <c r="E1001" s="45">
        <v>30395.29</v>
      </c>
      <c r="F1001" s="18"/>
      <c r="G1001" s="22">
        <v>-3.7000000000000002E-3</v>
      </c>
    </row>
    <row r="1002" spans="1:7" x14ac:dyDescent="0.3">
      <c r="A1002" s="54">
        <v>45310</v>
      </c>
      <c r="B1002" s="45">
        <v>30703.17</v>
      </c>
      <c r="C1002" s="45">
        <v>30703.17</v>
      </c>
      <c r="D1002" s="45">
        <v>30703.17</v>
      </c>
      <c r="E1002" s="45">
        <v>30703.17</v>
      </c>
      <c r="F1002" s="18"/>
      <c r="G1002" s="22">
        <v>1.01E-2</v>
      </c>
    </row>
    <row r="1003" spans="1:7" x14ac:dyDescent="0.3">
      <c r="A1003" s="54">
        <v>45311</v>
      </c>
      <c r="B1003" s="45">
        <v>30696.16</v>
      </c>
      <c r="C1003" s="45">
        <v>30696.16</v>
      </c>
      <c r="D1003" s="45">
        <v>30696.16</v>
      </c>
      <c r="E1003" s="45">
        <v>30696.16</v>
      </c>
      <c r="F1003" s="18"/>
      <c r="G1003" s="22">
        <v>-2.0000000000000001E-4</v>
      </c>
    </row>
    <row r="1004" spans="1:7" x14ac:dyDescent="0.3">
      <c r="A1004" s="54">
        <v>45315</v>
      </c>
      <c r="B1004" s="45">
        <v>30460.23</v>
      </c>
      <c r="C1004" s="45">
        <v>30460.23</v>
      </c>
      <c r="D1004" s="45">
        <v>30460.23</v>
      </c>
      <c r="E1004" s="45">
        <v>30460.23</v>
      </c>
      <c r="F1004" s="18"/>
      <c r="G1004" s="22">
        <v>-7.7000000000000002E-3</v>
      </c>
    </row>
    <row r="1005" spans="1:7" x14ac:dyDescent="0.3">
      <c r="A1005" s="54">
        <v>45316</v>
      </c>
      <c r="B1005" s="45">
        <v>30369.59</v>
      </c>
      <c r="C1005" s="45">
        <v>30369.59</v>
      </c>
      <c r="D1005" s="45">
        <v>30369.59</v>
      </c>
      <c r="E1005" s="45">
        <v>30369.59</v>
      </c>
      <c r="F1005" s="18"/>
      <c r="G1005" s="22">
        <v>-3.0000000000000001E-3</v>
      </c>
    </row>
    <row r="1006" spans="1:7" x14ac:dyDescent="0.3">
      <c r="A1006" s="54">
        <v>45320</v>
      </c>
      <c r="B1006" s="45">
        <v>30868.87</v>
      </c>
      <c r="C1006" s="45">
        <v>30868.87</v>
      </c>
      <c r="D1006" s="45">
        <v>30868.87</v>
      </c>
      <c r="E1006" s="45">
        <v>30868.87</v>
      </c>
      <c r="F1006" s="18"/>
      <c r="G1006" s="22">
        <v>1.6400000000000001E-2</v>
      </c>
    </row>
    <row r="1007" spans="1:7" x14ac:dyDescent="0.3">
      <c r="A1007" s="54">
        <v>45321</v>
      </c>
      <c r="B1007" s="45">
        <v>30654.14</v>
      </c>
      <c r="C1007" s="45">
        <v>30654.14</v>
      </c>
      <c r="D1007" s="45">
        <v>30654.14</v>
      </c>
      <c r="E1007" s="45">
        <v>30654.14</v>
      </c>
      <c r="F1007" s="18"/>
      <c r="G1007" s="22">
        <v>-7.0000000000000001E-3</v>
      </c>
    </row>
    <row r="1008" spans="1:7" x14ac:dyDescent="0.3">
      <c r="A1008" s="54">
        <v>45322</v>
      </c>
      <c r="B1008" s="45">
        <v>31011.17</v>
      </c>
      <c r="C1008" s="45">
        <v>31011.17</v>
      </c>
      <c r="D1008" s="45">
        <v>31011.17</v>
      </c>
      <c r="E1008" s="45">
        <v>31011.17</v>
      </c>
      <c r="F1008" s="18"/>
      <c r="G1008" s="22">
        <v>1.1599999999999999E-2</v>
      </c>
    </row>
    <row r="1009" spans="1:7" x14ac:dyDescent="0.3">
      <c r="A1009" s="54">
        <v>45323</v>
      </c>
      <c r="B1009" s="45">
        <v>30972.560000000001</v>
      </c>
      <c r="C1009" s="45">
        <v>30972.560000000001</v>
      </c>
      <c r="D1009" s="45">
        <v>30972.560000000001</v>
      </c>
      <c r="E1009" s="45">
        <v>30972.560000000001</v>
      </c>
      <c r="F1009" s="18"/>
      <c r="G1009" s="22">
        <v>-1.1999999999999999E-3</v>
      </c>
    </row>
    <row r="1010" spans="1:7" x14ac:dyDescent="0.3">
      <c r="A1010" s="54">
        <v>45324</v>
      </c>
      <c r="B1010" s="45">
        <v>31181.94</v>
      </c>
      <c r="C1010" s="45">
        <v>31181.94</v>
      </c>
      <c r="D1010" s="45">
        <v>31181.94</v>
      </c>
      <c r="E1010" s="45">
        <v>31181.94</v>
      </c>
      <c r="F1010" s="18"/>
      <c r="G1010" s="22">
        <v>6.7999999999999996E-3</v>
      </c>
    </row>
    <row r="1011" spans="1:7" x14ac:dyDescent="0.3">
      <c r="A1011" s="54">
        <v>45327</v>
      </c>
      <c r="B1011" s="45">
        <v>31092.89</v>
      </c>
      <c r="C1011" s="45">
        <v>31092.89</v>
      </c>
      <c r="D1011" s="45">
        <v>31092.89</v>
      </c>
      <c r="E1011" s="45">
        <v>31092.89</v>
      </c>
      <c r="F1011" s="18"/>
      <c r="G1011" s="22">
        <v>-2.8999999999999998E-3</v>
      </c>
    </row>
    <row r="1012" spans="1:7" x14ac:dyDescent="0.3">
      <c r="A1012" s="54">
        <v>45328</v>
      </c>
      <c r="B1012" s="45">
        <v>31378.02</v>
      </c>
      <c r="C1012" s="45">
        <v>31378.02</v>
      </c>
      <c r="D1012" s="45">
        <v>31378.02</v>
      </c>
      <c r="E1012" s="45">
        <v>31378.02</v>
      </c>
      <c r="F1012" s="18"/>
      <c r="G1012" s="22">
        <v>9.1999999999999998E-3</v>
      </c>
    </row>
    <row r="1013" spans="1:7" x14ac:dyDescent="0.3">
      <c r="A1013" s="54">
        <v>45329</v>
      </c>
      <c r="B1013" s="45">
        <v>31497.14</v>
      </c>
      <c r="C1013" s="45">
        <v>31497.14</v>
      </c>
      <c r="D1013" s="45">
        <v>31497.14</v>
      </c>
      <c r="E1013" s="45">
        <v>31497.14</v>
      </c>
      <c r="F1013" s="18"/>
      <c r="G1013" s="22">
        <v>3.8E-3</v>
      </c>
    </row>
    <row r="1014" spans="1:7" x14ac:dyDescent="0.3">
      <c r="A1014" s="54">
        <v>45330</v>
      </c>
      <c r="B1014" s="45">
        <v>31317.58</v>
      </c>
      <c r="C1014" s="45">
        <v>31317.58</v>
      </c>
      <c r="D1014" s="45">
        <v>31317.58</v>
      </c>
      <c r="E1014" s="45">
        <v>31317.58</v>
      </c>
      <c r="F1014" s="18"/>
      <c r="G1014" s="22">
        <v>-5.7000000000000002E-3</v>
      </c>
    </row>
    <row r="1015" spans="1:7" x14ac:dyDescent="0.3">
      <c r="A1015" s="54">
        <v>45331</v>
      </c>
      <c r="B1015" s="45">
        <v>31279.68</v>
      </c>
      <c r="C1015" s="45">
        <v>31279.68</v>
      </c>
      <c r="D1015" s="45">
        <v>31279.68</v>
      </c>
      <c r="E1015" s="45">
        <v>31279.68</v>
      </c>
      <c r="F1015" s="18"/>
      <c r="G1015" s="22">
        <v>-1.1999999999999999E-3</v>
      </c>
    </row>
    <row r="1016" spans="1:7" x14ac:dyDescent="0.3">
      <c r="A1016" s="54">
        <v>45334</v>
      </c>
      <c r="B1016" s="45">
        <v>30831.81</v>
      </c>
      <c r="C1016" s="45">
        <v>30831.81</v>
      </c>
      <c r="D1016" s="45">
        <v>30831.81</v>
      </c>
      <c r="E1016" s="45">
        <v>30831.81</v>
      </c>
      <c r="F1016" s="18"/>
      <c r="G1016" s="22">
        <v>-1.43E-2</v>
      </c>
    </row>
    <row r="1017" spans="1:7" x14ac:dyDescent="0.3">
      <c r="A1017" s="54">
        <v>45335</v>
      </c>
      <c r="B1017" s="45">
        <v>31000.76</v>
      </c>
      <c r="C1017" s="45">
        <v>31000.76</v>
      </c>
      <c r="D1017" s="45">
        <v>31000.76</v>
      </c>
      <c r="E1017" s="45">
        <v>31000.76</v>
      </c>
      <c r="F1017" s="18"/>
      <c r="G1017" s="22">
        <v>5.4999999999999997E-3</v>
      </c>
    </row>
    <row r="1018" spans="1:7" x14ac:dyDescent="0.3">
      <c r="A1018" s="54">
        <v>45336</v>
      </c>
      <c r="B1018" s="45">
        <v>31219.360000000001</v>
      </c>
      <c r="C1018" s="45">
        <v>31219.360000000001</v>
      </c>
      <c r="D1018" s="45">
        <v>31219.360000000001</v>
      </c>
      <c r="E1018" s="45">
        <v>31219.360000000001</v>
      </c>
      <c r="F1018" s="18"/>
      <c r="G1018" s="22">
        <v>7.1000000000000004E-3</v>
      </c>
    </row>
    <row r="1019" spans="1:7" x14ac:dyDescent="0.3">
      <c r="A1019" s="54">
        <v>45337</v>
      </c>
      <c r="B1019" s="45">
        <v>31403.73</v>
      </c>
      <c r="C1019" s="45">
        <v>31403.73</v>
      </c>
      <c r="D1019" s="45">
        <v>31403.73</v>
      </c>
      <c r="E1019" s="45">
        <v>31403.73</v>
      </c>
      <c r="F1019" s="18"/>
      <c r="G1019" s="22">
        <v>5.8999999999999999E-3</v>
      </c>
    </row>
    <row r="1020" spans="1:7" x14ac:dyDescent="0.3">
      <c r="A1020" s="54">
        <v>45338</v>
      </c>
      <c r="B1020" s="45">
        <v>31609.27</v>
      </c>
      <c r="C1020" s="45">
        <v>31609.27</v>
      </c>
      <c r="D1020" s="45">
        <v>31609.27</v>
      </c>
      <c r="E1020" s="45">
        <v>31609.27</v>
      </c>
      <c r="F1020" s="18"/>
      <c r="G1020" s="22">
        <v>6.4999999999999997E-3</v>
      </c>
    </row>
    <row r="1021" spans="1:7" x14ac:dyDescent="0.3">
      <c r="A1021" s="54">
        <v>45341</v>
      </c>
      <c r="B1021" s="45">
        <v>31728.7</v>
      </c>
      <c r="C1021" s="45">
        <v>31728.7</v>
      </c>
      <c r="D1021" s="45">
        <v>31728.7</v>
      </c>
      <c r="E1021" s="45">
        <v>31728.7</v>
      </c>
      <c r="F1021" s="18"/>
      <c r="G1021" s="22">
        <v>3.8E-3</v>
      </c>
    </row>
    <row r="1022" spans="1:7" x14ac:dyDescent="0.3">
      <c r="A1022" s="54">
        <v>45342</v>
      </c>
      <c r="B1022" s="45">
        <v>31781.65</v>
      </c>
      <c r="C1022" s="45">
        <v>31781.65</v>
      </c>
      <c r="D1022" s="45">
        <v>31781.65</v>
      </c>
      <c r="E1022" s="45">
        <v>31781.65</v>
      </c>
      <c r="F1022" s="18"/>
      <c r="G1022" s="22">
        <v>1.6999999999999999E-3</v>
      </c>
    </row>
    <row r="1023" spans="1:7" x14ac:dyDescent="0.3">
      <c r="A1023" s="54">
        <v>45343</v>
      </c>
      <c r="B1023" s="45">
        <v>31557.54</v>
      </c>
      <c r="C1023" s="45">
        <v>31557.54</v>
      </c>
      <c r="D1023" s="45">
        <v>31557.54</v>
      </c>
      <c r="E1023" s="45">
        <v>31557.54</v>
      </c>
      <c r="F1023" s="18"/>
      <c r="G1023" s="22">
        <v>-7.1000000000000004E-3</v>
      </c>
    </row>
    <row r="1024" spans="1:7" x14ac:dyDescent="0.3">
      <c r="A1024" s="54">
        <v>45344</v>
      </c>
      <c r="B1024" s="45">
        <v>31802.39</v>
      </c>
      <c r="C1024" s="45">
        <v>31802.39</v>
      </c>
      <c r="D1024" s="45">
        <v>31802.39</v>
      </c>
      <c r="E1024" s="45">
        <v>31802.39</v>
      </c>
      <c r="F1024" s="18"/>
      <c r="G1024" s="22">
        <v>7.7999999999999996E-3</v>
      </c>
    </row>
    <row r="1025" spans="1:7" x14ac:dyDescent="0.3">
      <c r="A1025" s="54">
        <v>45345</v>
      </c>
      <c r="B1025" s="45">
        <v>31849.62</v>
      </c>
      <c r="C1025" s="45">
        <v>31849.62</v>
      </c>
      <c r="D1025" s="45">
        <v>31849.62</v>
      </c>
      <c r="E1025" s="45">
        <v>31849.62</v>
      </c>
      <c r="F1025" s="18"/>
      <c r="G1025" s="22">
        <v>1.5E-3</v>
      </c>
    </row>
    <row r="1026" spans="1:7" x14ac:dyDescent="0.3">
      <c r="A1026" s="54">
        <v>45348</v>
      </c>
      <c r="B1026" s="45">
        <v>31759.23</v>
      </c>
      <c r="C1026" s="45">
        <v>31759.23</v>
      </c>
      <c r="D1026" s="45">
        <v>31759.23</v>
      </c>
      <c r="E1026" s="45">
        <v>31759.23</v>
      </c>
      <c r="F1026" s="18"/>
      <c r="G1026" s="22">
        <v>-2.8E-3</v>
      </c>
    </row>
    <row r="1027" spans="1:7" x14ac:dyDescent="0.3">
      <c r="A1027" s="54">
        <v>45349</v>
      </c>
      <c r="B1027" s="45">
        <v>31817.3</v>
      </c>
      <c r="C1027" s="45">
        <v>31817.3</v>
      </c>
      <c r="D1027" s="45">
        <v>31817.3</v>
      </c>
      <c r="E1027" s="45">
        <v>31817.3</v>
      </c>
      <c r="F1027" s="18"/>
      <c r="G1027" s="22">
        <v>1.8E-3</v>
      </c>
    </row>
    <row r="1028" spans="1:7" x14ac:dyDescent="0.3">
      <c r="A1028" s="54">
        <v>45350</v>
      </c>
      <c r="B1028" s="45">
        <v>31390.09</v>
      </c>
      <c r="C1028" s="45">
        <v>31390.09</v>
      </c>
      <c r="D1028" s="45">
        <v>31390.09</v>
      </c>
      <c r="E1028" s="45">
        <v>31390.09</v>
      </c>
      <c r="F1028" s="18"/>
      <c r="G1028" s="22">
        <v>-1.34E-2</v>
      </c>
    </row>
    <row r="1029" spans="1:7" x14ac:dyDescent="0.3">
      <c r="A1029" s="54">
        <v>45351</v>
      </c>
      <c r="B1029" s="45">
        <v>31499.31</v>
      </c>
      <c r="C1029" s="45">
        <v>31499.31</v>
      </c>
      <c r="D1029" s="45">
        <v>31499.31</v>
      </c>
      <c r="E1029" s="45">
        <v>31499.31</v>
      </c>
      <c r="F1029" s="18"/>
      <c r="G1029" s="22">
        <v>3.5000000000000001E-3</v>
      </c>
    </row>
    <row r="1030" spans="1:7" x14ac:dyDescent="0.3">
      <c r="A1030" s="54">
        <v>45352</v>
      </c>
      <c r="B1030" s="45">
        <v>31906.58</v>
      </c>
      <c r="C1030" s="45">
        <v>31906.58</v>
      </c>
      <c r="D1030" s="45">
        <v>31906.58</v>
      </c>
      <c r="E1030" s="45">
        <v>31906.58</v>
      </c>
      <c r="F1030" s="18"/>
      <c r="G1030" s="22">
        <v>1.29E-2</v>
      </c>
    </row>
    <row r="1031" spans="1:7" x14ac:dyDescent="0.3">
      <c r="A1031" s="54">
        <v>45353</v>
      </c>
      <c r="B1031" s="45">
        <v>32018.73</v>
      </c>
      <c r="C1031" s="45">
        <v>32018.73</v>
      </c>
      <c r="D1031" s="45">
        <v>32018.73</v>
      </c>
      <c r="E1031" s="45">
        <v>32018.73</v>
      </c>
      <c r="F1031" s="18"/>
      <c r="G1031" s="22">
        <v>3.5000000000000001E-3</v>
      </c>
    </row>
    <row r="1032" spans="1:7" x14ac:dyDescent="0.3">
      <c r="A1032" s="54">
        <v>45355</v>
      </c>
      <c r="B1032" s="45">
        <v>32035.51</v>
      </c>
      <c r="C1032" s="45">
        <v>32035.51</v>
      </c>
      <c r="D1032" s="45">
        <v>32035.51</v>
      </c>
      <c r="E1032" s="45">
        <v>32035.51</v>
      </c>
      <c r="F1032" s="18"/>
      <c r="G1032" s="22">
        <v>5.0000000000000001E-4</v>
      </c>
    </row>
    <row r="1033" spans="1:7" x14ac:dyDescent="0.3">
      <c r="A1033" s="54">
        <v>45356</v>
      </c>
      <c r="B1033" s="45">
        <v>31957.1</v>
      </c>
      <c r="C1033" s="45">
        <v>31957.1</v>
      </c>
      <c r="D1033" s="45">
        <v>31957.1</v>
      </c>
      <c r="E1033" s="45">
        <v>31957.1</v>
      </c>
      <c r="F1033" s="18"/>
      <c r="G1033" s="22">
        <v>-2.3999999999999998E-3</v>
      </c>
    </row>
    <row r="1034" spans="1:7" x14ac:dyDescent="0.3">
      <c r="A1034" s="54">
        <v>45357</v>
      </c>
      <c r="B1034" s="45">
        <v>31953.91</v>
      </c>
      <c r="C1034" s="45">
        <v>31953.91</v>
      </c>
      <c r="D1034" s="45">
        <v>31953.91</v>
      </c>
      <c r="E1034" s="45">
        <v>31953.91</v>
      </c>
      <c r="F1034" s="18"/>
      <c r="G1034" s="22">
        <v>-1E-4</v>
      </c>
    </row>
    <row r="1035" spans="1:7" x14ac:dyDescent="0.3">
      <c r="A1035" s="54">
        <v>45358</v>
      </c>
      <c r="B1035" s="45">
        <v>32040.62</v>
      </c>
      <c r="C1035" s="45">
        <v>32040.62</v>
      </c>
      <c r="D1035" s="45">
        <v>32040.62</v>
      </c>
      <c r="E1035" s="45">
        <v>32040.62</v>
      </c>
      <c r="F1035" s="18"/>
      <c r="G1035" s="22">
        <v>2.7000000000000001E-3</v>
      </c>
    </row>
    <row r="1036" spans="1:7" x14ac:dyDescent="0.3">
      <c r="A1036" s="54">
        <v>45362</v>
      </c>
      <c r="B1036" s="45">
        <v>31811.65</v>
      </c>
      <c r="C1036" s="45">
        <v>31811.65</v>
      </c>
      <c r="D1036" s="45">
        <v>31811.65</v>
      </c>
      <c r="E1036" s="45">
        <v>31811.65</v>
      </c>
      <c r="F1036" s="18"/>
      <c r="G1036" s="22">
        <v>-7.1000000000000004E-3</v>
      </c>
    </row>
    <row r="1037" spans="1:7" x14ac:dyDescent="0.3">
      <c r="A1037" s="54">
        <v>45363</v>
      </c>
      <c r="B1037" s="45">
        <v>31627.67</v>
      </c>
      <c r="C1037" s="45">
        <v>31627.67</v>
      </c>
      <c r="D1037" s="45">
        <v>31627.67</v>
      </c>
      <c r="E1037" s="45">
        <v>31627.67</v>
      </c>
      <c r="F1037" s="18"/>
      <c r="G1037" s="22">
        <v>-5.7999999999999996E-3</v>
      </c>
    </row>
    <row r="1038" spans="1:7" x14ac:dyDescent="0.3">
      <c r="A1038" s="54">
        <v>45364</v>
      </c>
      <c r="B1038" s="45">
        <v>30804.35</v>
      </c>
      <c r="C1038" s="45">
        <v>30804.35</v>
      </c>
      <c r="D1038" s="45">
        <v>30804.35</v>
      </c>
      <c r="E1038" s="45">
        <v>30804.35</v>
      </c>
      <c r="F1038" s="18"/>
      <c r="G1038" s="22">
        <v>-2.5999999999999999E-2</v>
      </c>
    </row>
    <row r="1039" spans="1:7" x14ac:dyDescent="0.3">
      <c r="A1039" s="54">
        <v>45365</v>
      </c>
      <c r="B1039" s="45">
        <v>31227.759999999998</v>
      </c>
      <c r="C1039" s="45">
        <v>31227.759999999998</v>
      </c>
      <c r="D1039" s="45">
        <v>31227.759999999998</v>
      </c>
      <c r="E1039" s="45">
        <v>31227.759999999998</v>
      </c>
      <c r="F1039" s="18"/>
      <c r="G1039" s="22">
        <v>1.37E-2</v>
      </c>
    </row>
    <row r="1040" spans="1:7" x14ac:dyDescent="0.3">
      <c r="A1040" s="54">
        <v>45366</v>
      </c>
      <c r="B1040" s="45">
        <v>31085.07</v>
      </c>
      <c r="C1040" s="45">
        <v>31085.07</v>
      </c>
      <c r="D1040" s="45">
        <v>31085.07</v>
      </c>
      <c r="E1040" s="45">
        <v>31085.07</v>
      </c>
      <c r="F1040" s="18"/>
      <c r="G1040" s="22">
        <v>-4.5999999999999999E-3</v>
      </c>
    </row>
    <row r="1041" spans="1:7" x14ac:dyDescent="0.3">
      <c r="A1041" s="54">
        <v>45367</v>
      </c>
      <c r="B1041" s="45">
        <v>32026.71</v>
      </c>
      <c r="C1041" s="45">
        <v>32026.71</v>
      </c>
      <c r="D1041" s="45">
        <v>32026.71</v>
      </c>
      <c r="E1041" s="45">
        <v>32026.71</v>
      </c>
      <c r="F1041" s="18"/>
      <c r="G1041" s="22">
        <v>3.0300000000000001E-2</v>
      </c>
    </row>
    <row r="1042" spans="1:7" x14ac:dyDescent="0.3">
      <c r="A1042" s="54">
        <v>45369</v>
      </c>
      <c r="B1042" s="45">
        <v>31113.75</v>
      </c>
      <c r="C1042" s="45">
        <v>31113.75</v>
      </c>
      <c r="D1042" s="45">
        <v>31113.75</v>
      </c>
      <c r="E1042" s="45">
        <v>31113.75</v>
      </c>
      <c r="F1042" s="18"/>
      <c r="G1042" s="22">
        <v>-2.8500000000000001E-2</v>
      </c>
    </row>
    <row r="1043" spans="1:7" x14ac:dyDescent="0.3">
      <c r="A1043" s="54">
        <v>45370</v>
      </c>
      <c r="B1043" s="45">
        <v>30749.48</v>
      </c>
      <c r="C1043" s="45">
        <v>30749.48</v>
      </c>
      <c r="D1043" s="45">
        <v>30749.48</v>
      </c>
      <c r="E1043" s="45">
        <v>30749.48</v>
      </c>
      <c r="F1043" s="18"/>
      <c r="G1043" s="22">
        <v>-1.17E-2</v>
      </c>
    </row>
    <row r="1044" spans="1:7" x14ac:dyDescent="0.3">
      <c r="A1044" s="54">
        <v>45371</v>
      </c>
      <c r="B1044" s="45">
        <v>30783.19</v>
      </c>
      <c r="C1044" s="45">
        <v>30783.19</v>
      </c>
      <c r="D1044" s="45">
        <v>30783.19</v>
      </c>
      <c r="E1044" s="45">
        <v>30783.19</v>
      </c>
      <c r="F1044" s="18"/>
      <c r="G1044" s="22">
        <v>1.1000000000000001E-3</v>
      </c>
    </row>
    <row r="1045" spans="1:7" x14ac:dyDescent="0.3">
      <c r="A1045" s="54">
        <v>45372</v>
      </c>
      <c r="B1045" s="45">
        <v>31199.42</v>
      </c>
      <c r="C1045" s="45">
        <v>31199.42</v>
      </c>
      <c r="D1045" s="45">
        <v>31199.42</v>
      </c>
      <c r="E1045" s="45">
        <v>31199.42</v>
      </c>
      <c r="F1045" s="18"/>
      <c r="G1045" s="22">
        <v>1.35E-2</v>
      </c>
    </row>
    <row r="1046" spans="1:7" x14ac:dyDescent="0.3">
      <c r="A1046" s="54">
        <v>45373</v>
      </c>
      <c r="B1046" s="45">
        <v>31353.21</v>
      </c>
      <c r="C1046" s="45">
        <v>31353.21</v>
      </c>
      <c r="D1046" s="45">
        <v>31353.21</v>
      </c>
      <c r="E1046" s="45">
        <v>31353.21</v>
      </c>
      <c r="F1046" s="18"/>
      <c r="G1046" s="22">
        <v>4.8999999999999998E-3</v>
      </c>
    </row>
    <row r="1047" spans="1:7" x14ac:dyDescent="0.3">
      <c r="A1047" s="54">
        <v>45378</v>
      </c>
      <c r="B1047" s="45">
        <v>31499.32</v>
      </c>
      <c r="C1047" s="45">
        <v>31499.32</v>
      </c>
      <c r="D1047" s="45">
        <v>31499.32</v>
      </c>
      <c r="E1047" s="45">
        <v>31499.32</v>
      </c>
      <c r="F1047" s="18"/>
      <c r="G1047" s="22">
        <v>4.7000000000000002E-3</v>
      </c>
    </row>
    <row r="1048" spans="1:7" x14ac:dyDescent="0.3">
      <c r="A1048" s="54">
        <v>45384</v>
      </c>
      <c r="B1048" s="45">
        <v>32256.66</v>
      </c>
      <c r="C1048" s="45">
        <v>32256.66</v>
      </c>
      <c r="D1048" s="45">
        <v>32256.66</v>
      </c>
      <c r="E1048" s="45">
        <v>32256.66</v>
      </c>
      <c r="F1048" s="18"/>
      <c r="G1048" s="22">
        <v>2.4E-2</v>
      </c>
    </row>
    <row r="1049" spans="1:7" x14ac:dyDescent="0.3">
      <c r="A1049" s="54">
        <v>45385</v>
      </c>
      <c r="B1049" s="45">
        <v>32313.03</v>
      </c>
      <c r="C1049" s="45">
        <v>32313.03</v>
      </c>
      <c r="D1049" s="45">
        <v>32313.03</v>
      </c>
      <c r="E1049" s="45">
        <v>32313.03</v>
      </c>
      <c r="F1049" s="18"/>
      <c r="G1049" s="22">
        <v>1.6999999999999999E-3</v>
      </c>
    </row>
    <row r="1050" spans="1:7" x14ac:dyDescent="0.3">
      <c r="A1050" s="54">
        <v>45386</v>
      </c>
      <c r="B1050" s="45">
        <v>32405.59</v>
      </c>
      <c r="C1050" s="45">
        <v>32405.59</v>
      </c>
      <c r="D1050" s="45">
        <v>32405.59</v>
      </c>
      <c r="E1050" s="45">
        <v>32405.59</v>
      </c>
      <c r="F1050" s="18"/>
      <c r="G1050" s="22">
        <v>2.8999999999999998E-3</v>
      </c>
    </row>
    <row r="1051" spans="1:7" x14ac:dyDescent="0.3">
      <c r="A1051" s="54">
        <v>45387</v>
      </c>
      <c r="B1051" s="45">
        <v>32484.71</v>
      </c>
      <c r="C1051" s="45">
        <v>32484.71</v>
      </c>
      <c r="D1051" s="45">
        <v>32484.71</v>
      </c>
      <c r="E1051" s="45">
        <v>32484.71</v>
      </c>
      <c r="F1051" s="18"/>
      <c r="G1051" s="22">
        <v>2.3999999999999998E-3</v>
      </c>
    </row>
    <row r="1052" spans="1:7" x14ac:dyDescent="0.3">
      <c r="A1052" s="54">
        <v>45390</v>
      </c>
      <c r="B1052" s="45">
        <v>32647.88</v>
      </c>
      <c r="C1052" s="45">
        <v>32647.88</v>
      </c>
      <c r="D1052" s="45">
        <v>32647.88</v>
      </c>
      <c r="E1052" s="45">
        <v>32647.88</v>
      </c>
      <c r="F1052" s="18"/>
      <c r="G1052" s="22">
        <v>5.0000000000000001E-3</v>
      </c>
    </row>
    <row r="1053" spans="1:7" x14ac:dyDescent="0.3">
      <c r="A1053" s="54">
        <v>45391</v>
      </c>
      <c r="B1053" s="45">
        <v>32603.32</v>
      </c>
      <c r="C1053" s="45">
        <v>32603.32</v>
      </c>
      <c r="D1053" s="45">
        <v>32603.32</v>
      </c>
      <c r="E1053" s="45">
        <v>32603.32</v>
      </c>
      <c r="F1053" s="18"/>
      <c r="G1053" s="22">
        <v>-1.4E-3</v>
      </c>
    </row>
    <row r="1054" spans="1:7" x14ac:dyDescent="0.3">
      <c r="A1054" s="54">
        <v>45392</v>
      </c>
      <c r="B1054" s="45">
        <v>32798.550000000003</v>
      </c>
      <c r="C1054" s="45">
        <v>32798.550000000003</v>
      </c>
      <c r="D1054" s="45">
        <v>32798.550000000003</v>
      </c>
      <c r="E1054" s="45">
        <v>32798.550000000003</v>
      </c>
      <c r="F1054" s="18"/>
      <c r="G1054" s="22">
        <v>6.0000000000000001E-3</v>
      </c>
    </row>
    <row r="1055" spans="1:7" x14ac:dyDescent="0.3">
      <c r="A1055" s="54">
        <v>45394</v>
      </c>
      <c r="B1055" s="45">
        <v>32532.43</v>
      </c>
      <c r="C1055" s="45">
        <v>32532.43</v>
      </c>
      <c r="D1055" s="45">
        <v>32532.43</v>
      </c>
      <c r="E1055" s="45">
        <v>32532.43</v>
      </c>
      <c r="F1055" s="18"/>
      <c r="G1055" s="22">
        <v>-8.0999999999999996E-3</v>
      </c>
    </row>
    <row r="1056" spans="1:7" x14ac:dyDescent="0.3">
      <c r="A1056" s="54">
        <v>45397</v>
      </c>
      <c r="B1056" s="45">
        <v>32114.13</v>
      </c>
      <c r="C1056" s="45">
        <v>32114.13</v>
      </c>
      <c r="D1056" s="45">
        <v>32114.13</v>
      </c>
      <c r="E1056" s="45">
        <v>32114.13</v>
      </c>
      <c r="F1056" s="18"/>
      <c r="G1056" s="22">
        <v>-1.29E-2</v>
      </c>
    </row>
    <row r="1057" spans="1:7" x14ac:dyDescent="0.3">
      <c r="A1057" s="54">
        <v>45398</v>
      </c>
      <c r="B1057" s="45">
        <v>32026.71</v>
      </c>
      <c r="C1057" s="45">
        <v>32026.71</v>
      </c>
      <c r="D1057" s="45">
        <v>32026.71</v>
      </c>
      <c r="E1057" s="45">
        <v>32026.71</v>
      </c>
      <c r="F1057" s="18"/>
      <c r="G1057" s="22">
        <v>-2.7000000000000001E-3</v>
      </c>
    </row>
    <row r="1058" spans="1:7" x14ac:dyDescent="0.3">
      <c r="A1058" s="54">
        <v>45400</v>
      </c>
      <c r="B1058" s="45">
        <v>31872.54</v>
      </c>
      <c r="C1058" s="45">
        <v>31872.54</v>
      </c>
      <c r="D1058" s="45">
        <v>31872.54</v>
      </c>
      <c r="E1058" s="45">
        <v>31872.54</v>
      </c>
      <c r="F1058" s="18"/>
      <c r="G1058" s="22">
        <v>-4.7999999999999996E-3</v>
      </c>
    </row>
    <row r="1059" spans="1:7" x14ac:dyDescent="0.3">
      <c r="A1059" s="54">
        <v>45401</v>
      </c>
      <c r="B1059" s="45">
        <v>31967.61</v>
      </c>
      <c r="C1059" s="45">
        <v>31967.61</v>
      </c>
      <c r="D1059" s="45">
        <v>31967.61</v>
      </c>
      <c r="E1059" s="45">
        <v>31967.61</v>
      </c>
      <c r="F1059" s="18"/>
      <c r="G1059" s="22">
        <v>3.0000000000000001E-3</v>
      </c>
    </row>
    <row r="1060" spans="1:7" x14ac:dyDescent="0.3">
      <c r="A1060" s="54">
        <v>45404</v>
      </c>
      <c r="B1060" s="45">
        <v>32265.09</v>
      </c>
      <c r="C1060" s="45">
        <v>32265.09</v>
      </c>
      <c r="D1060" s="45">
        <v>32265.09</v>
      </c>
      <c r="E1060" s="45">
        <v>32265.09</v>
      </c>
      <c r="F1060" s="18"/>
      <c r="G1060" s="22">
        <v>9.2999999999999992E-3</v>
      </c>
    </row>
    <row r="1061" spans="1:7" x14ac:dyDescent="0.3">
      <c r="A1061" s="54">
        <v>45405</v>
      </c>
      <c r="B1061" s="45">
        <v>32387.08</v>
      </c>
      <c r="C1061" s="45">
        <v>32387.08</v>
      </c>
      <c r="D1061" s="45">
        <v>32387.08</v>
      </c>
      <c r="E1061" s="45">
        <v>32387.08</v>
      </c>
      <c r="F1061" s="18"/>
      <c r="G1061" s="22">
        <v>3.8E-3</v>
      </c>
    </row>
    <row r="1062" spans="1:7" x14ac:dyDescent="0.3">
      <c r="A1062" s="54">
        <v>45406</v>
      </c>
      <c r="B1062" s="45">
        <v>32509.43</v>
      </c>
      <c r="C1062" s="45">
        <v>32509.43</v>
      </c>
      <c r="D1062" s="45">
        <v>32509.43</v>
      </c>
      <c r="E1062" s="45">
        <v>32509.43</v>
      </c>
      <c r="F1062" s="18"/>
      <c r="G1062" s="22">
        <v>3.8E-3</v>
      </c>
    </row>
    <row r="1063" spans="1:7" x14ac:dyDescent="0.3">
      <c r="A1063" s="54">
        <v>45407</v>
      </c>
      <c r="B1063" s="45">
        <v>32724.61</v>
      </c>
      <c r="C1063" s="45">
        <v>32724.61</v>
      </c>
      <c r="D1063" s="45">
        <v>32724.61</v>
      </c>
      <c r="E1063" s="45">
        <v>32724.61</v>
      </c>
      <c r="F1063" s="18"/>
      <c r="G1063" s="22">
        <v>6.6E-3</v>
      </c>
    </row>
    <row r="1064" spans="1:7" x14ac:dyDescent="0.3">
      <c r="A1064" s="54">
        <v>45408</v>
      </c>
      <c r="B1064" s="45">
        <v>32919.57</v>
      </c>
      <c r="C1064" s="45">
        <v>32919.57</v>
      </c>
      <c r="D1064" s="45">
        <v>32919.57</v>
      </c>
      <c r="E1064" s="45">
        <v>32919.57</v>
      </c>
      <c r="F1064" s="18"/>
      <c r="G1064" s="22">
        <v>6.0000000000000001E-3</v>
      </c>
    </row>
    <row r="1065" spans="1:7" x14ac:dyDescent="0.3">
      <c r="A1065" s="54">
        <v>45412</v>
      </c>
      <c r="B1065" s="45">
        <v>32927.379999999997</v>
      </c>
      <c r="C1065" s="45">
        <v>32927.379999999997</v>
      </c>
      <c r="D1065" s="45">
        <v>32927.379999999997</v>
      </c>
      <c r="E1065" s="45">
        <v>32927.379999999997</v>
      </c>
      <c r="F1065" s="18"/>
      <c r="G1065" s="22">
        <v>2.0000000000000001E-4</v>
      </c>
    </row>
    <row r="1066" spans="1:7" x14ac:dyDescent="0.3">
      <c r="A1066" s="54">
        <v>45414</v>
      </c>
      <c r="B1066" s="45">
        <v>33063</v>
      </c>
      <c r="C1066" s="45">
        <v>33063</v>
      </c>
      <c r="D1066" s="45">
        <v>33063</v>
      </c>
      <c r="E1066" s="45">
        <v>33063</v>
      </c>
      <c r="F1066" s="18"/>
      <c r="G1066" s="22">
        <v>4.1000000000000003E-3</v>
      </c>
    </row>
    <row r="1067" spans="1:7" x14ac:dyDescent="0.3">
      <c r="A1067" s="54">
        <v>45415</v>
      </c>
      <c r="B1067" s="45">
        <v>32868.94</v>
      </c>
      <c r="C1067" s="45">
        <v>32868.94</v>
      </c>
      <c r="D1067" s="45">
        <v>32868.94</v>
      </c>
      <c r="E1067" s="45">
        <v>32868.94</v>
      </c>
      <c r="F1067" s="18"/>
      <c r="G1067" s="22">
        <v>-5.8999999999999999E-3</v>
      </c>
    </row>
    <row r="1068" spans="1:7" x14ac:dyDescent="0.3">
      <c r="A1068" s="54">
        <v>45419</v>
      </c>
      <c r="B1068" s="45">
        <v>32365.34</v>
      </c>
      <c r="C1068" s="45">
        <v>32365.34</v>
      </c>
      <c r="D1068" s="45">
        <v>32365.34</v>
      </c>
      <c r="E1068" s="45">
        <v>32365.34</v>
      </c>
      <c r="F1068" s="18"/>
      <c r="G1068" s="22">
        <v>-1.5299999999999999E-2</v>
      </c>
    </row>
    <row r="1069" spans="1:7" x14ac:dyDescent="0.3">
      <c r="A1069" s="54">
        <v>45420</v>
      </c>
      <c r="B1069" s="45">
        <v>32473.360000000001</v>
      </c>
      <c r="C1069" s="45">
        <v>32473.360000000001</v>
      </c>
      <c r="D1069" s="45">
        <v>32473.360000000001</v>
      </c>
      <c r="E1069" s="45">
        <v>32473.360000000001</v>
      </c>
      <c r="F1069" s="18"/>
      <c r="G1069" s="22">
        <v>3.3E-3</v>
      </c>
    </row>
    <row r="1070" spans="1:7" x14ac:dyDescent="0.3">
      <c r="A1070" s="54">
        <v>45421</v>
      </c>
      <c r="B1070" s="45">
        <v>31908.53</v>
      </c>
      <c r="C1070" s="45">
        <v>31908.53</v>
      </c>
      <c r="D1070" s="45">
        <v>31908.53</v>
      </c>
      <c r="E1070" s="45">
        <v>31908.53</v>
      </c>
      <c r="F1070" s="18"/>
      <c r="G1070" s="22">
        <v>-1.7399999999999999E-2</v>
      </c>
    </row>
    <row r="1071" spans="1:7" x14ac:dyDescent="0.3">
      <c r="A1071" s="54">
        <v>45425</v>
      </c>
      <c r="B1071" s="45">
        <v>32197.97</v>
      </c>
      <c r="C1071" s="45">
        <v>32197.97</v>
      </c>
      <c r="D1071" s="45">
        <v>32197.97</v>
      </c>
      <c r="E1071" s="45">
        <v>32197.97</v>
      </c>
      <c r="F1071" s="18"/>
      <c r="G1071" s="22">
        <v>9.1000000000000004E-3</v>
      </c>
    </row>
    <row r="1072" spans="1:7" x14ac:dyDescent="0.3">
      <c r="A1072" s="54">
        <v>45426</v>
      </c>
      <c r="B1072" s="45">
        <v>32469.95</v>
      </c>
      <c r="C1072" s="45">
        <v>32469.95</v>
      </c>
      <c r="D1072" s="45">
        <v>32469.95</v>
      </c>
      <c r="E1072" s="45">
        <v>32469.95</v>
      </c>
      <c r="F1072" s="18"/>
      <c r="G1072" s="22">
        <v>8.3999999999999995E-3</v>
      </c>
    </row>
    <row r="1073" spans="1:7" x14ac:dyDescent="0.3">
      <c r="A1073" s="54">
        <v>45428</v>
      </c>
      <c r="B1073" s="45">
        <v>32860.879999999997</v>
      </c>
      <c r="C1073" s="45">
        <v>32860.879999999997</v>
      </c>
      <c r="D1073" s="45">
        <v>32860.879999999997</v>
      </c>
      <c r="E1073" s="45">
        <v>32860.879999999997</v>
      </c>
      <c r="F1073" s="18"/>
      <c r="G1073" s="22">
        <v>1.2E-2</v>
      </c>
    </row>
    <row r="1074" spans="1:7" x14ac:dyDescent="0.3">
      <c r="A1074" s="54">
        <v>45429</v>
      </c>
      <c r="B1074" s="45">
        <v>33073.629999999997</v>
      </c>
      <c r="C1074" s="45">
        <v>33073.629999999997</v>
      </c>
      <c r="D1074" s="45">
        <v>33073.629999999997</v>
      </c>
      <c r="E1074" s="45">
        <v>33073.629999999997</v>
      </c>
      <c r="F1074" s="18"/>
      <c r="G1074" s="22">
        <v>6.4999999999999997E-3</v>
      </c>
    </row>
    <row r="1075" spans="1:7" x14ac:dyDescent="0.3">
      <c r="A1075" s="54">
        <v>45430</v>
      </c>
      <c r="B1075" s="45">
        <v>33199.1</v>
      </c>
      <c r="C1075" s="45">
        <v>33199.1</v>
      </c>
      <c r="D1075" s="45">
        <v>33199.1</v>
      </c>
      <c r="E1075" s="45">
        <v>33199.1</v>
      </c>
      <c r="F1075" s="18"/>
      <c r="G1075" s="22">
        <v>3.8E-3</v>
      </c>
    </row>
    <row r="1076" spans="1:7" x14ac:dyDescent="0.3">
      <c r="A1076" s="54">
        <v>45433</v>
      </c>
      <c r="B1076" s="45">
        <v>33266.910000000003</v>
      </c>
      <c r="C1076" s="45">
        <v>33266.910000000003</v>
      </c>
      <c r="D1076" s="45">
        <v>33266.910000000003</v>
      </c>
      <c r="E1076" s="45">
        <v>33266.910000000003</v>
      </c>
      <c r="F1076" s="18"/>
      <c r="G1076" s="22">
        <v>2E-3</v>
      </c>
    </row>
    <row r="1077" spans="1:7" x14ac:dyDescent="0.3">
      <c r="A1077" s="54">
        <v>45434</v>
      </c>
      <c r="B1077" s="45">
        <v>33357.18</v>
      </c>
      <c r="C1077" s="45">
        <v>33357.18</v>
      </c>
      <c r="D1077" s="45">
        <v>33357.18</v>
      </c>
      <c r="E1077" s="45">
        <v>33357.18</v>
      </c>
      <c r="F1077" s="18"/>
      <c r="G1077" s="22">
        <v>2.7000000000000001E-3</v>
      </c>
    </row>
    <row r="1078" spans="1:7" x14ac:dyDescent="0.3">
      <c r="A1078" s="54">
        <v>45435</v>
      </c>
      <c r="B1078" s="45">
        <v>33752.67</v>
      </c>
      <c r="C1078" s="45">
        <v>33752.67</v>
      </c>
      <c r="D1078" s="45">
        <v>33752.67</v>
      </c>
      <c r="E1078" s="45">
        <v>33752.67</v>
      </c>
      <c r="F1078" s="18"/>
      <c r="G1078" s="22">
        <v>1.1900000000000001E-2</v>
      </c>
    </row>
    <row r="1079" spans="1:7" x14ac:dyDescent="0.3">
      <c r="A1079" s="54">
        <v>45436</v>
      </c>
      <c r="B1079" s="45">
        <v>33744.480000000003</v>
      </c>
      <c r="C1079" s="45">
        <v>33744.480000000003</v>
      </c>
      <c r="D1079" s="45">
        <v>33744.480000000003</v>
      </c>
      <c r="E1079" s="45">
        <v>33744.480000000003</v>
      </c>
      <c r="F1079" s="18"/>
      <c r="G1079" s="22">
        <v>-2.0000000000000001E-4</v>
      </c>
    </row>
    <row r="1080" spans="1:7" x14ac:dyDescent="0.3">
      <c r="A1080" s="54">
        <v>45439</v>
      </c>
      <c r="B1080" s="45">
        <v>33759.03</v>
      </c>
      <c r="C1080" s="45">
        <v>33759.03</v>
      </c>
      <c r="D1080" s="45">
        <v>33759.03</v>
      </c>
      <c r="E1080" s="45">
        <v>33759.03</v>
      </c>
      <c r="F1080" s="18"/>
      <c r="G1080" s="22">
        <v>4.0000000000000002E-4</v>
      </c>
    </row>
    <row r="1081" spans="1:7" x14ac:dyDescent="0.3">
      <c r="A1081" s="54">
        <v>45440</v>
      </c>
      <c r="B1081" s="45">
        <v>33593.17</v>
      </c>
      <c r="C1081" s="45">
        <v>33593.17</v>
      </c>
      <c r="D1081" s="45">
        <v>33593.17</v>
      </c>
      <c r="E1081" s="45">
        <v>33593.17</v>
      </c>
      <c r="F1081" s="18"/>
      <c r="G1081" s="22">
        <v>-4.8999999999999998E-3</v>
      </c>
    </row>
    <row r="1082" spans="1:7" x14ac:dyDescent="0.3">
      <c r="A1082" s="54">
        <v>45441</v>
      </c>
      <c r="B1082" s="45">
        <v>33387.370000000003</v>
      </c>
      <c r="C1082" s="45">
        <v>33387.370000000003</v>
      </c>
      <c r="D1082" s="45">
        <v>33387.370000000003</v>
      </c>
      <c r="E1082" s="45">
        <v>33387.370000000003</v>
      </c>
      <c r="F1082" s="18"/>
      <c r="G1082" s="22">
        <v>-6.1000000000000004E-3</v>
      </c>
    </row>
    <row r="1083" spans="1:7" x14ac:dyDescent="0.3">
      <c r="A1083" s="54">
        <v>45442</v>
      </c>
      <c r="B1083" s="45">
        <v>33045.31</v>
      </c>
      <c r="C1083" s="45">
        <v>33045.31</v>
      </c>
      <c r="D1083" s="45">
        <v>33045.31</v>
      </c>
      <c r="E1083" s="45">
        <v>33045.31</v>
      </c>
      <c r="F1083" s="18"/>
      <c r="G1083" s="22">
        <v>-1.0200000000000001E-2</v>
      </c>
    </row>
    <row r="1084" spans="1:7" x14ac:dyDescent="0.3">
      <c r="A1084" s="54">
        <v>45443</v>
      </c>
      <c r="B1084" s="45">
        <v>33168.199999999997</v>
      </c>
      <c r="C1084" s="45">
        <v>33168.199999999997</v>
      </c>
      <c r="D1084" s="45">
        <v>33168.199999999997</v>
      </c>
      <c r="E1084" s="45">
        <v>33168.199999999997</v>
      </c>
      <c r="F1084" s="18"/>
      <c r="G1084" s="22">
        <v>3.7000000000000002E-3</v>
      </c>
    </row>
    <row r="1085" spans="1:7" x14ac:dyDescent="0.3">
      <c r="A1085" s="54">
        <v>45447</v>
      </c>
      <c r="B1085" s="45">
        <v>31956.22</v>
      </c>
      <c r="C1085" s="45">
        <v>31956.22</v>
      </c>
      <c r="D1085" s="45">
        <v>31956.22</v>
      </c>
      <c r="E1085" s="45">
        <v>31956.22</v>
      </c>
      <c r="F1085" s="18"/>
      <c r="G1085" s="22">
        <v>-3.6499999999999998E-2</v>
      </c>
    </row>
    <row r="1086" spans="1:7" x14ac:dyDescent="0.3">
      <c r="A1086" s="54">
        <v>45448</v>
      </c>
      <c r="B1086" s="45">
        <v>33104.99</v>
      </c>
      <c r="C1086" s="45">
        <v>33104.99</v>
      </c>
      <c r="D1086" s="45">
        <v>33104.99</v>
      </c>
      <c r="E1086" s="45">
        <v>33104.99</v>
      </c>
      <c r="F1086" s="18"/>
      <c r="G1086" s="22">
        <v>3.5900000000000001E-2</v>
      </c>
    </row>
    <row r="1087" spans="1:7" x14ac:dyDescent="0.3">
      <c r="A1087" s="54">
        <v>45449</v>
      </c>
      <c r="B1087" s="45">
        <v>33104.99</v>
      </c>
      <c r="C1087" s="45">
        <v>33104.99</v>
      </c>
      <c r="D1087" s="45">
        <v>33104.99</v>
      </c>
      <c r="E1087" s="45">
        <v>33104.99</v>
      </c>
      <c r="F1087" s="18"/>
      <c r="G1087" s="22">
        <v>0</v>
      </c>
    </row>
    <row r="1088" spans="1:7" x14ac:dyDescent="0.3">
      <c r="A1088" s="54">
        <v>45450</v>
      </c>
      <c r="B1088" s="45">
        <v>34221.81</v>
      </c>
      <c r="C1088" s="45">
        <v>34221.81</v>
      </c>
      <c r="D1088" s="45">
        <v>34221.81</v>
      </c>
      <c r="E1088" s="45">
        <v>34221.81</v>
      </c>
      <c r="F1088" s="18"/>
      <c r="G1088" s="22">
        <v>3.3700000000000001E-2</v>
      </c>
    </row>
    <row r="1089" spans="1:7" x14ac:dyDescent="0.3">
      <c r="A1089" s="54">
        <v>45453</v>
      </c>
      <c r="B1089" s="45">
        <v>34291.15</v>
      </c>
      <c r="C1089" s="45">
        <v>34291.15</v>
      </c>
      <c r="D1089" s="45">
        <v>34291.15</v>
      </c>
      <c r="E1089" s="45">
        <v>34291.15</v>
      </c>
      <c r="F1089" s="18"/>
      <c r="G1089" s="22">
        <v>2E-3</v>
      </c>
    </row>
    <row r="1090" spans="1:7" x14ac:dyDescent="0.3">
      <c r="A1090" s="54">
        <v>45455</v>
      </c>
      <c r="B1090" s="45">
        <v>34536.949999999997</v>
      </c>
      <c r="C1090" s="45">
        <v>34536.949999999997</v>
      </c>
      <c r="D1090" s="45">
        <v>34536.949999999997</v>
      </c>
      <c r="E1090" s="45">
        <v>34536.949999999997</v>
      </c>
      <c r="F1090" s="18"/>
      <c r="G1090" s="22">
        <v>7.1999999999999998E-3</v>
      </c>
    </row>
    <row r="1091" spans="1:7" x14ac:dyDescent="0.3">
      <c r="A1091" s="54">
        <v>45456</v>
      </c>
      <c r="B1091" s="45">
        <v>34715.589999999997</v>
      </c>
      <c r="C1091" s="45">
        <v>34715.589999999997</v>
      </c>
      <c r="D1091" s="45">
        <v>34715.589999999997</v>
      </c>
      <c r="E1091" s="45">
        <v>34715.589999999997</v>
      </c>
      <c r="F1091" s="18"/>
      <c r="G1091" s="22">
        <v>5.1999999999999998E-3</v>
      </c>
    </row>
    <row r="1092" spans="1:7" x14ac:dyDescent="0.3">
      <c r="A1092" s="54">
        <v>45457</v>
      </c>
      <c r="B1092" s="45">
        <v>34943.919999999998</v>
      </c>
      <c r="C1092" s="45">
        <v>34943.919999999998</v>
      </c>
      <c r="D1092" s="45">
        <v>34943.919999999998</v>
      </c>
      <c r="E1092" s="45">
        <v>34943.919999999998</v>
      </c>
      <c r="F1092" s="18"/>
      <c r="G1092" s="22">
        <v>6.6E-3</v>
      </c>
    </row>
    <row r="1093" spans="1:7" x14ac:dyDescent="0.3">
      <c r="A1093" s="54">
        <v>45461</v>
      </c>
      <c r="B1093" s="45">
        <v>35127.1</v>
      </c>
      <c r="C1093" s="45">
        <v>35127.1</v>
      </c>
      <c r="D1093" s="45">
        <v>35127.1</v>
      </c>
      <c r="E1093" s="45">
        <v>35127.1</v>
      </c>
      <c r="F1093" s="18"/>
      <c r="G1093" s="22">
        <v>5.1999999999999998E-3</v>
      </c>
    </row>
    <row r="1094" spans="1:7" x14ac:dyDescent="0.3">
      <c r="A1094" s="54">
        <v>45462</v>
      </c>
      <c r="B1094" s="45">
        <v>34963.410000000003</v>
      </c>
      <c r="C1094" s="45">
        <v>34963.410000000003</v>
      </c>
      <c r="D1094" s="45">
        <v>34963.410000000003</v>
      </c>
      <c r="E1094" s="45">
        <v>34963.410000000003</v>
      </c>
      <c r="F1094" s="18"/>
      <c r="G1094" s="22">
        <v>-4.7000000000000002E-3</v>
      </c>
    </row>
    <row r="1095" spans="1:7" x14ac:dyDescent="0.3">
      <c r="A1095" s="54">
        <v>45463</v>
      </c>
      <c r="B1095" s="45">
        <v>35096.03</v>
      </c>
      <c r="C1095" s="45">
        <v>35096.03</v>
      </c>
      <c r="D1095" s="45">
        <v>35096.03</v>
      </c>
      <c r="E1095" s="45">
        <v>35096.03</v>
      </c>
      <c r="F1095" s="18"/>
      <c r="G1095" s="22">
        <v>3.8E-3</v>
      </c>
    </row>
    <row r="1096" spans="1:7" x14ac:dyDescent="0.3">
      <c r="A1096" s="54">
        <v>45464</v>
      </c>
      <c r="B1096" s="45">
        <v>34991.85</v>
      </c>
      <c r="C1096" s="45">
        <v>34991.85</v>
      </c>
      <c r="D1096" s="45">
        <v>34991.85</v>
      </c>
      <c r="E1096" s="45">
        <v>34991.85</v>
      </c>
      <c r="F1096" s="18"/>
      <c r="G1096" s="22">
        <v>-3.0000000000000001E-3</v>
      </c>
    </row>
    <row r="1097" spans="1:7" x14ac:dyDescent="0.3">
      <c r="A1097" s="54">
        <v>45467</v>
      </c>
      <c r="B1097" s="45">
        <v>35075.14</v>
      </c>
      <c r="C1097" s="45">
        <v>35075.14</v>
      </c>
      <c r="D1097" s="45">
        <v>35075.14</v>
      </c>
      <c r="E1097" s="45">
        <v>35075.14</v>
      </c>
      <c r="F1097" s="18"/>
      <c r="G1097" s="22">
        <v>2.3999999999999998E-3</v>
      </c>
    </row>
    <row r="1098" spans="1:7" x14ac:dyDescent="0.3">
      <c r="A1098" s="54">
        <v>45468</v>
      </c>
      <c r="B1098" s="45">
        <v>35204.26</v>
      </c>
      <c r="C1098" s="45">
        <v>35204.26</v>
      </c>
      <c r="D1098" s="45">
        <v>35204.26</v>
      </c>
      <c r="E1098" s="45">
        <v>35204.26</v>
      </c>
      <c r="F1098" s="18"/>
      <c r="G1098" s="22">
        <v>3.7000000000000002E-3</v>
      </c>
    </row>
    <row r="1099" spans="1:7" x14ac:dyDescent="0.3">
      <c r="A1099" s="54">
        <v>45469</v>
      </c>
      <c r="B1099" s="45">
        <v>35308.410000000003</v>
      </c>
      <c r="C1099" s="45">
        <v>35308.410000000003</v>
      </c>
      <c r="D1099" s="45">
        <v>35308.410000000003</v>
      </c>
      <c r="E1099" s="45">
        <v>35308.410000000003</v>
      </c>
      <c r="F1099" s="18"/>
      <c r="G1099" s="22">
        <v>3.0000000000000001E-3</v>
      </c>
    </row>
    <row r="1100" spans="1:7" x14ac:dyDescent="0.3">
      <c r="A1100" s="54">
        <v>45471</v>
      </c>
      <c r="B1100" s="45">
        <v>35506.97</v>
      </c>
      <c r="C1100" s="45">
        <v>35506.97</v>
      </c>
      <c r="D1100" s="45">
        <v>35506.97</v>
      </c>
      <c r="E1100" s="45">
        <v>35506.97</v>
      </c>
      <c r="F1100" s="18"/>
      <c r="G1100" s="22">
        <v>5.5999999999999999E-3</v>
      </c>
    </row>
    <row r="1101" spans="1:7" x14ac:dyDescent="0.3">
      <c r="A1101" s="54">
        <v>45474</v>
      </c>
      <c r="B1101" s="45">
        <v>35771.61</v>
      </c>
      <c r="C1101" s="45">
        <v>35771.61</v>
      </c>
      <c r="D1101" s="45">
        <v>35771.61</v>
      </c>
      <c r="E1101" s="45">
        <v>35771.61</v>
      </c>
      <c r="F1101" s="18"/>
      <c r="G1101" s="22">
        <v>7.4999999999999997E-3</v>
      </c>
    </row>
    <row r="1102" spans="1:7" x14ac:dyDescent="0.3">
      <c r="A1102" s="54">
        <v>45475</v>
      </c>
      <c r="B1102" s="45">
        <v>35693.160000000003</v>
      </c>
      <c r="C1102" s="45">
        <v>35693.160000000003</v>
      </c>
      <c r="D1102" s="45">
        <v>35693.160000000003</v>
      </c>
      <c r="E1102" s="45">
        <v>35693.160000000003</v>
      </c>
      <c r="F1102" s="18"/>
      <c r="G1102" s="22">
        <v>-2.2000000000000001E-3</v>
      </c>
    </row>
    <row r="1103" spans="1:7" x14ac:dyDescent="0.3">
      <c r="A1103" s="54">
        <v>45478</v>
      </c>
      <c r="B1103" s="45">
        <v>36187.040000000001</v>
      </c>
      <c r="C1103" s="45">
        <v>36187.040000000001</v>
      </c>
      <c r="D1103" s="45">
        <v>36187.040000000001</v>
      </c>
      <c r="E1103" s="45">
        <v>36187.040000000001</v>
      </c>
      <c r="F1103" s="18"/>
      <c r="G1103" s="22">
        <v>1.38E-2</v>
      </c>
    </row>
    <row r="1104" spans="1:7" x14ac:dyDescent="0.3">
      <c r="A1104" s="54">
        <v>45481</v>
      </c>
      <c r="B1104" s="45">
        <v>36161.199999999997</v>
      </c>
      <c r="C1104" s="45">
        <v>36161.199999999997</v>
      </c>
      <c r="D1104" s="45">
        <v>36161.199999999997</v>
      </c>
      <c r="E1104" s="45">
        <v>36161.199999999997</v>
      </c>
      <c r="F1104" s="18"/>
      <c r="G1104" s="22">
        <v>-6.9999999999999999E-4</v>
      </c>
    </row>
    <row r="1105" spans="1:7" x14ac:dyDescent="0.3">
      <c r="A1105" s="54">
        <v>45482</v>
      </c>
      <c r="B1105" s="45">
        <v>36314.78</v>
      </c>
      <c r="C1105" s="45">
        <v>36314.78</v>
      </c>
      <c r="D1105" s="45">
        <v>36314.78</v>
      </c>
      <c r="E1105" s="45">
        <v>36314.78</v>
      </c>
      <c r="F1105" s="18"/>
      <c r="G1105" s="22">
        <v>4.1999999999999997E-3</v>
      </c>
    </row>
    <row r="1106" spans="1:7" x14ac:dyDescent="0.3">
      <c r="A1106" s="54">
        <v>45483</v>
      </c>
      <c r="B1106" s="45">
        <v>36173.97</v>
      </c>
      <c r="C1106" s="45">
        <v>36173.97</v>
      </c>
      <c r="D1106" s="45">
        <v>36173.97</v>
      </c>
      <c r="E1106" s="45">
        <v>36173.97</v>
      </c>
      <c r="F1106" s="18"/>
      <c r="G1106" s="22">
        <v>-3.8999999999999998E-3</v>
      </c>
    </row>
    <row r="1107" spans="1:7" x14ac:dyDescent="0.3">
      <c r="A1107" s="54">
        <v>45484</v>
      </c>
      <c r="B1107" s="45">
        <v>36217.5</v>
      </c>
      <c r="C1107" s="45">
        <v>36217.5</v>
      </c>
      <c r="D1107" s="45">
        <v>36217.5</v>
      </c>
      <c r="E1107" s="45">
        <v>36217.5</v>
      </c>
      <c r="F1107" s="18"/>
      <c r="G1107" s="22">
        <v>1.1999999999999999E-3</v>
      </c>
    </row>
    <row r="1108" spans="1:7" x14ac:dyDescent="0.3">
      <c r="A1108" s="54">
        <v>45485</v>
      </c>
      <c r="B1108" s="45">
        <v>36362.300000000003</v>
      </c>
      <c r="C1108" s="45">
        <v>36362.300000000003</v>
      </c>
      <c r="D1108" s="45">
        <v>36362.300000000003</v>
      </c>
      <c r="E1108" s="45">
        <v>36362.300000000003</v>
      </c>
      <c r="F1108" s="18"/>
      <c r="G1108" s="22">
        <v>4.0000000000000001E-3</v>
      </c>
    </row>
    <row r="1109" spans="1:7" x14ac:dyDescent="0.3">
      <c r="A1109" s="54">
        <v>45488</v>
      </c>
      <c r="B1109" s="45">
        <v>36542.559999999998</v>
      </c>
      <c r="C1109" s="45">
        <v>36542.559999999998</v>
      </c>
      <c r="D1109" s="45">
        <v>36542.559999999998</v>
      </c>
      <c r="E1109" s="45">
        <v>36542.559999999998</v>
      </c>
      <c r="F1109" s="18"/>
      <c r="G1109" s="22">
        <v>5.0000000000000001E-3</v>
      </c>
    </row>
    <row r="1110" spans="1:7" x14ac:dyDescent="0.3">
      <c r="A1110" s="54">
        <v>45489</v>
      </c>
      <c r="B1110" s="45">
        <v>36536.660000000003</v>
      </c>
      <c r="C1110" s="45">
        <v>36536.660000000003</v>
      </c>
      <c r="D1110" s="45">
        <v>36536.660000000003</v>
      </c>
      <c r="E1110" s="45">
        <v>36536.660000000003</v>
      </c>
      <c r="F1110" s="18"/>
      <c r="G1110" s="22">
        <v>-2.0000000000000001E-4</v>
      </c>
    </row>
    <row r="1111" spans="1:7" x14ac:dyDescent="0.3">
      <c r="A1111" s="54">
        <v>45491</v>
      </c>
      <c r="B1111" s="45">
        <v>36546.199999999997</v>
      </c>
      <c r="C1111" s="45">
        <v>36546.199999999997</v>
      </c>
      <c r="D1111" s="45">
        <v>36546.199999999997</v>
      </c>
      <c r="E1111" s="45">
        <v>36546.199999999997</v>
      </c>
      <c r="F1111" s="18"/>
      <c r="G1111" s="22">
        <v>2.9999999999999997E-4</v>
      </c>
    </row>
    <row r="1112" spans="1:7" x14ac:dyDescent="0.3">
      <c r="A1112" s="54">
        <v>45492</v>
      </c>
      <c r="B1112" s="45">
        <v>35989.82</v>
      </c>
      <c r="C1112" s="45">
        <v>35989.82</v>
      </c>
      <c r="D1112" s="45">
        <v>35989.82</v>
      </c>
      <c r="E1112" s="45">
        <v>35989.82</v>
      </c>
      <c r="F1112" s="18"/>
      <c r="G1112" s="22">
        <v>-1.52E-2</v>
      </c>
    </row>
    <row r="1113" spans="1:7" x14ac:dyDescent="0.3">
      <c r="A1113" s="54">
        <v>45495</v>
      </c>
      <c r="B1113" s="45">
        <v>36130.29</v>
      </c>
      <c r="C1113" s="45">
        <v>36130.29</v>
      </c>
      <c r="D1113" s="45">
        <v>36130.29</v>
      </c>
      <c r="E1113" s="45">
        <v>36130.29</v>
      </c>
      <c r="F1113" s="18"/>
      <c r="G1113" s="22">
        <v>3.8999999999999998E-3</v>
      </c>
    </row>
    <row r="1114" spans="1:7" x14ac:dyDescent="0.3">
      <c r="A1114" s="54">
        <v>45496</v>
      </c>
      <c r="B1114" s="45">
        <v>36011.83</v>
      </c>
      <c r="C1114" s="45">
        <v>36011.83</v>
      </c>
      <c r="D1114" s="45">
        <v>36011.83</v>
      </c>
      <c r="E1114" s="45">
        <v>36011.83</v>
      </c>
      <c r="F1114" s="18"/>
      <c r="G1114" s="22">
        <v>-3.3E-3</v>
      </c>
    </row>
    <row r="1115" spans="1:7" x14ac:dyDescent="0.3">
      <c r="A1115" s="54">
        <v>45497</v>
      </c>
      <c r="B1115" s="45">
        <v>36101.160000000003</v>
      </c>
      <c r="C1115" s="45">
        <v>36101.160000000003</v>
      </c>
      <c r="D1115" s="45">
        <v>36101.160000000003</v>
      </c>
      <c r="E1115" s="45">
        <v>36101.160000000003</v>
      </c>
      <c r="F1115" s="18"/>
      <c r="G1115" s="22">
        <v>2.5000000000000001E-3</v>
      </c>
    </row>
    <row r="1116" spans="1:7" x14ac:dyDescent="0.3">
      <c r="A1116" s="54">
        <v>45498</v>
      </c>
      <c r="B1116" s="45">
        <v>36094.83</v>
      </c>
      <c r="C1116" s="45">
        <v>36094.83</v>
      </c>
      <c r="D1116" s="45">
        <v>36094.83</v>
      </c>
      <c r="E1116" s="45">
        <v>36094.83</v>
      </c>
      <c r="F1116" s="18"/>
      <c r="G1116" s="22">
        <v>-2.0000000000000001E-4</v>
      </c>
    </row>
    <row r="1117" spans="1:7" x14ac:dyDescent="0.3">
      <c r="A1117" s="54">
        <v>45499</v>
      </c>
      <c r="B1117" s="45">
        <v>36686.769999999997</v>
      </c>
      <c r="C1117" s="45">
        <v>36686.769999999997</v>
      </c>
      <c r="D1117" s="45">
        <v>36686.769999999997</v>
      </c>
      <c r="E1117" s="45">
        <v>36686.769999999997</v>
      </c>
      <c r="F1117" s="18"/>
      <c r="G1117" s="22">
        <v>1.6400000000000001E-2</v>
      </c>
    </row>
    <row r="1118" spans="1:7" x14ac:dyDescent="0.3">
      <c r="A1118" s="54">
        <v>45502</v>
      </c>
      <c r="B1118" s="45">
        <v>36848.019999999997</v>
      </c>
      <c r="C1118" s="45">
        <v>36848.019999999997</v>
      </c>
      <c r="D1118" s="45">
        <v>36848.019999999997</v>
      </c>
      <c r="E1118" s="45">
        <v>36848.019999999997</v>
      </c>
      <c r="F1118" s="18"/>
      <c r="G1118" s="22">
        <v>4.4000000000000003E-3</v>
      </c>
    </row>
    <row r="1119" spans="1:7" x14ac:dyDescent="0.3">
      <c r="A1119" s="54">
        <v>45503</v>
      </c>
      <c r="B1119" s="45">
        <v>36923.230000000003</v>
      </c>
      <c r="C1119" s="45">
        <v>36923.230000000003</v>
      </c>
      <c r="D1119" s="45">
        <v>36923.230000000003</v>
      </c>
      <c r="E1119" s="45">
        <v>36923.230000000003</v>
      </c>
      <c r="F1119" s="18"/>
      <c r="G1119" s="22">
        <v>2E-3</v>
      </c>
    </row>
    <row r="1120" spans="1:7" x14ac:dyDescent="0.3">
      <c r="A1120" s="54">
        <v>45504</v>
      </c>
      <c r="B1120" s="45">
        <v>37066.080000000002</v>
      </c>
      <c r="C1120" s="45">
        <v>37066.080000000002</v>
      </c>
      <c r="D1120" s="45">
        <v>37066.080000000002</v>
      </c>
      <c r="E1120" s="45">
        <v>37066.080000000002</v>
      </c>
      <c r="F1120" s="18"/>
      <c r="G1120" s="22">
        <v>3.8999999999999998E-3</v>
      </c>
    </row>
    <row r="1121" spans="1:7" x14ac:dyDescent="0.3">
      <c r="A1121" s="54">
        <v>45505</v>
      </c>
      <c r="B1121" s="45">
        <v>37029.53</v>
      </c>
      <c r="C1121" s="45">
        <v>37029.53</v>
      </c>
      <c r="D1121" s="45">
        <v>37029.53</v>
      </c>
      <c r="E1121" s="45">
        <v>37029.53</v>
      </c>
      <c r="F1121" s="18"/>
      <c r="G1121" s="22">
        <v>-1E-3</v>
      </c>
    </row>
    <row r="1122" spans="1:7" x14ac:dyDescent="0.3">
      <c r="A1122" s="54">
        <v>45506</v>
      </c>
      <c r="B1122" s="45">
        <v>36647.21</v>
      </c>
      <c r="C1122" s="45">
        <v>36647.21</v>
      </c>
      <c r="D1122" s="45">
        <v>36647.21</v>
      </c>
      <c r="E1122" s="45">
        <v>36647.21</v>
      </c>
      <c r="F1122" s="18"/>
      <c r="G1122" s="22">
        <v>-1.03E-2</v>
      </c>
    </row>
    <row r="1123" spans="1:7" x14ac:dyDescent="0.3">
      <c r="A1123" s="54">
        <v>45509</v>
      </c>
      <c r="B1123" s="45">
        <v>35519.5</v>
      </c>
      <c r="C1123" s="45">
        <v>35519.5</v>
      </c>
      <c r="D1123" s="45">
        <v>35519.5</v>
      </c>
      <c r="E1123" s="45">
        <v>35519.5</v>
      </c>
      <c r="F1123" s="18"/>
      <c r="G1123" s="22">
        <v>-3.0800000000000001E-2</v>
      </c>
    </row>
    <row r="1124" spans="1:7" x14ac:dyDescent="0.3">
      <c r="A1124" s="54">
        <v>45510</v>
      </c>
      <c r="B1124" s="45">
        <v>35364.14</v>
      </c>
      <c r="C1124" s="45">
        <v>35364.14</v>
      </c>
      <c r="D1124" s="45">
        <v>35364.14</v>
      </c>
      <c r="E1124" s="45">
        <v>35364.14</v>
      </c>
      <c r="F1124" s="18"/>
      <c r="G1124" s="22">
        <v>-4.4000000000000003E-3</v>
      </c>
    </row>
    <row r="1125" spans="1:7" x14ac:dyDescent="0.3">
      <c r="A1125" s="54">
        <v>45511</v>
      </c>
      <c r="B1125" s="45">
        <v>36012.32</v>
      </c>
      <c r="C1125" s="45">
        <v>36012.32</v>
      </c>
      <c r="D1125" s="45">
        <v>36012.32</v>
      </c>
      <c r="E1125" s="45">
        <v>36012.32</v>
      </c>
      <c r="F1125" s="18"/>
      <c r="G1125" s="22">
        <v>1.83E-2</v>
      </c>
    </row>
    <row r="1126" spans="1:7" x14ac:dyDescent="0.3">
      <c r="A1126" s="54">
        <v>45512</v>
      </c>
      <c r="B1126" s="45">
        <v>35786.639999999999</v>
      </c>
      <c r="C1126" s="45">
        <v>35786.639999999999</v>
      </c>
      <c r="D1126" s="45">
        <v>35786.639999999999</v>
      </c>
      <c r="E1126" s="45">
        <v>35786.639999999999</v>
      </c>
      <c r="F1126" s="18"/>
      <c r="G1126" s="22">
        <v>-6.3E-3</v>
      </c>
    </row>
    <row r="1127" spans="1:7" x14ac:dyDescent="0.3">
      <c r="A1127" s="54">
        <v>45513</v>
      </c>
      <c r="B1127" s="45">
        <v>36133.360000000001</v>
      </c>
      <c r="C1127" s="45">
        <v>36133.360000000001</v>
      </c>
      <c r="D1127" s="45">
        <v>36133.360000000001</v>
      </c>
      <c r="E1127" s="45">
        <v>36133.360000000001</v>
      </c>
      <c r="F1127" s="18"/>
      <c r="G1127" s="22">
        <v>9.7000000000000003E-3</v>
      </c>
    </row>
    <row r="1128" spans="1:7" x14ac:dyDescent="0.3">
      <c r="A1128" s="54">
        <v>45516</v>
      </c>
      <c r="B1128" s="45">
        <v>36135.49</v>
      </c>
      <c r="C1128" s="45">
        <v>36135.49</v>
      </c>
      <c r="D1128" s="45">
        <v>36135.49</v>
      </c>
      <c r="E1128" s="45">
        <v>36135.49</v>
      </c>
      <c r="F1128" s="18"/>
      <c r="G1128" s="22">
        <v>1E-4</v>
      </c>
    </row>
    <row r="1129" spans="1:7" x14ac:dyDescent="0.3">
      <c r="A1129" s="54">
        <v>45517</v>
      </c>
      <c r="B1129" s="45">
        <v>35804.660000000003</v>
      </c>
      <c r="C1129" s="45">
        <v>35804.660000000003</v>
      </c>
      <c r="D1129" s="45">
        <v>35804.660000000003</v>
      </c>
      <c r="E1129" s="45">
        <v>35804.660000000003</v>
      </c>
      <c r="F1129" s="18"/>
      <c r="G1129" s="22">
        <v>-9.1999999999999998E-3</v>
      </c>
    </row>
    <row r="1130" spans="1:7" x14ac:dyDescent="0.3">
      <c r="A1130" s="54">
        <v>45518</v>
      </c>
      <c r="B1130" s="45">
        <v>35754.300000000003</v>
      </c>
      <c r="C1130" s="45">
        <v>35754.300000000003</v>
      </c>
      <c r="D1130" s="45">
        <v>35754.300000000003</v>
      </c>
      <c r="E1130" s="45">
        <v>35754.300000000003</v>
      </c>
      <c r="F1130" s="18"/>
      <c r="G1130" s="22">
        <v>-1.4E-3</v>
      </c>
    </row>
    <row r="1131" spans="1:7" x14ac:dyDescent="0.3">
      <c r="A1131" s="54">
        <v>45520</v>
      </c>
      <c r="B1131" s="45">
        <v>36365.97</v>
      </c>
      <c r="C1131" s="45">
        <v>36365.97</v>
      </c>
      <c r="D1131" s="45">
        <v>36365.97</v>
      </c>
      <c r="E1131" s="45">
        <v>36365.97</v>
      </c>
      <c r="F1131" s="18"/>
      <c r="G1131" s="22">
        <v>1.7100000000000001E-2</v>
      </c>
    </row>
    <row r="1132" spans="1:7" x14ac:dyDescent="0.3">
      <c r="A1132" s="54">
        <v>45523</v>
      </c>
      <c r="B1132" s="45">
        <v>36503.86</v>
      </c>
      <c r="C1132" s="45">
        <v>36503.86</v>
      </c>
      <c r="D1132" s="45">
        <v>36503.86</v>
      </c>
      <c r="E1132" s="45">
        <v>36503.86</v>
      </c>
      <c r="F1132" s="18"/>
      <c r="G1132" s="22">
        <v>3.8E-3</v>
      </c>
    </row>
    <row r="1133" spans="1:7" x14ac:dyDescent="0.3">
      <c r="A1133" s="54">
        <v>45524</v>
      </c>
      <c r="B1133" s="45">
        <v>36726.550000000003</v>
      </c>
      <c r="C1133" s="45">
        <v>36726.550000000003</v>
      </c>
      <c r="D1133" s="45">
        <v>36726.550000000003</v>
      </c>
      <c r="E1133" s="45">
        <v>36726.550000000003</v>
      </c>
      <c r="F1133" s="18"/>
      <c r="G1133" s="22">
        <v>6.1000000000000004E-3</v>
      </c>
    </row>
    <row r="1134" spans="1:7" x14ac:dyDescent="0.3">
      <c r="A1134" s="54">
        <v>45525</v>
      </c>
      <c r="B1134" s="45">
        <v>36866.43</v>
      </c>
      <c r="C1134" s="45">
        <v>36866.43</v>
      </c>
      <c r="D1134" s="45">
        <v>36866.43</v>
      </c>
      <c r="E1134" s="45">
        <v>36866.43</v>
      </c>
      <c r="F1134" s="18"/>
      <c r="G1134" s="22">
        <v>3.8E-3</v>
      </c>
    </row>
    <row r="1135" spans="1:7" x14ac:dyDescent="0.3">
      <c r="A1135" s="54">
        <v>45526</v>
      </c>
      <c r="B1135" s="45">
        <v>36980.53</v>
      </c>
      <c r="C1135" s="45">
        <v>36980.53</v>
      </c>
      <c r="D1135" s="45">
        <v>36980.53</v>
      </c>
      <c r="E1135" s="45">
        <v>36980.53</v>
      </c>
      <c r="F1135" s="18"/>
      <c r="G1135" s="22">
        <v>3.0999999999999999E-3</v>
      </c>
    </row>
    <row r="1136" spans="1:7" x14ac:dyDescent="0.3">
      <c r="A1136" s="54">
        <v>45527</v>
      </c>
      <c r="B1136" s="45">
        <v>36949.74</v>
      </c>
      <c r="C1136" s="45">
        <v>36949.74</v>
      </c>
      <c r="D1136" s="45">
        <v>36949.74</v>
      </c>
      <c r="E1136" s="45">
        <v>36949.74</v>
      </c>
      <c r="F1136" s="18"/>
      <c r="G1136" s="22">
        <v>-8.0000000000000004E-4</v>
      </c>
    </row>
    <row r="1137" spans="1:7" x14ac:dyDescent="0.3">
      <c r="A1137" s="54">
        <v>45530</v>
      </c>
      <c r="B1137" s="45">
        <v>37175.56</v>
      </c>
      <c r="C1137" s="45">
        <v>37175.56</v>
      </c>
      <c r="D1137" s="45">
        <v>37175.56</v>
      </c>
      <c r="E1137" s="45">
        <v>37175.56</v>
      </c>
      <c r="F1137" s="18"/>
      <c r="G1137" s="22">
        <v>6.1000000000000004E-3</v>
      </c>
    </row>
    <row r="1138" spans="1:7" x14ac:dyDescent="0.3">
      <c r="A1138" s="54">
        <v>45531</v>
      </c>
      <c r="B1138" s="45">
        <v>37243.599999999999</v>
      </c>
      <c r="C1138" s="45">
        <v>37243.599999999999</v>
      </c>
      <c r="D1138" s="45">
        <v>37243.599999999999</v>
      </c>
      <c r="E1138" s="45">
        <v>37243.599999999999</v>
      </c>
      <c r="F1138" s="18"/>
      <c r="G1138" s="22">
        <v>1.8E-3</v>
      </c>
    </row>
    <row r="1139" spans="1:7" x14ac:dyDescent="0.3">
      <c r="A1139" s="54">
        <v>45532</v>
      </c>
      <c r="B1139" s="45">
        <v>37261.15</v>
      </c>
      <c r="C1139" s="45">
        <v>37261.15</v>
      </c>
      <c r="D1139" s="45">
        <v>37261.15</v>
      </c>
      <c r="E1139" s="45">
        <v>37261.15</v>
      </c>
      <c r="F1139" s="18"/>
      <c r="G1139" s="22">
        <v>5.0000000000000001E-4</v>
      </c>
    </row>
    <row r="1140" spans="1:7" x14ac:dyDescent="0.3">
      <c r="A1140" s="54">
        <v>45533</v>
      </c>
      <c r="B1140" s="45">
        <v>37285.57</v>
      </c>
      <c r="C1140" s="45">
        <v>37285.57</v>
      </c>
      <c r="D1140" s="45">
        <v>37285.57</v>
      </c>
      <c r="E1140" s="45">
        <v>37285.57</v>
      </c>
      <c r="F1140" s="18"/>
      <c r="G1140" s="22">
        <v>6.9999999999999999E-4</v>
      </c>
    </row>
    <row r="1141" spans="1:7" x14ac:dyDescent="0.3">
      <c r="A1141" s="54">
        <v>45534</v>
      </c>
      <c r="B1141" s="45">
        <v>37449.919999999998</v>
      </c>
      <c r="C1141" s="45">
        <v>37449.919999999998</v>
      </c>
      <c r="D1141" s="45">
        <v>37449.919999999998</v>
      </c>
      <c r="E1141" s="45">
        <v>37449.919999999998</v>
      </c>
      <c r="F1141" s="18"/>
      <c r="G1141" s="22">
        <v>4.4000000000000003E-3</v>
      </c>
    </row>
    <row r="1142" spans="1:7" x14ac:dyDescent="0.3">
      <c r="A1142" s="54">
        <v>45537</v>
      </c>
      <c r="B1142" s="45">
        <v>37491.24</v>
      </c>
      <c r="C1142" s="45">
        <v>37491.24</v>
      </c>
      <c r="D1142" s="45">
        <v>37491.24</v>
      </c>
      <c r="E1142" s="45">
        <v>37491.24</v>
      </c>
      <c r="F1142" s="18"/>
      <c r="G1142" s="22">
        <v>1.1000000000000001E-3</v>
      </c>
    </row>
    <row r="1143" spans="1:7" x14ac:dyDescent="0.3">
      <c r="A1143" s="54">
        <v>45538</v>
      </c>
      <c r="B1143" s="45">
        <v>37535.120000000003</v>
      </c>
      <c r="C1143" s="45">
        <v>37535.120000000003</v>
      </c>
      <c r="D1143" s="45">
        <v>37535.120000000003</v>
      </c>
      <c r="E1143" s="45">
        <v>37535.120000000003</v>
      </c>
      <c r="F1143" s="18"/>
      <c r="G1143" s="22">
        <v>1.1999999999999999E-3</v>
      </c>
    </row>
    <row r="1144" spans="1:7" x14ac:dyDescent="0.3">
      <c r="A1144" s="54">
        <v>45539</v>
      </c>
      <c r="B1144" s="45">
        <v>37472.699999999997</v>
      </c>
      <c r="C1144" s="45">
        <v>37472.699999999997</v>
      </c>
      <c r="D1144" s="45">
        <v>37472.699999999997</v>
      </c>
      <c r="E1144" s="45">
        <v>37472.699999999997</v>
      </c>
      <c r="F1144" s="18"/>
      <c r="G1144" s="22">
        <v>-1.6999999999999999E-3</v>
      </c>
    </row>
    <row r="1145" spans="1:7" x14ac:dyDescent="0.3">
      <c r="A1145" s="54">
        <v>45540</v>
      </c>
      <c r="B1145" s="45">
        <v>37494.75</v>
      </c>
      <c r="C1145" s="45">
        <v>37494.75</v>
      </c>
      <c r="D1145" s="45">
        <v>37494.75</v>
      </c>
      <c r="E1145" s="45">
        <v>37494.75</v>
      </c>
      <c r="F1145" s="18"/>
      <c r="G1145" s="22">
        <v>5.9999999999999995E-4</v>
      </c>
    </row>
    <row r="1146" spans="1:7" x14ac:dyDescent="0.3">
      <c r="A1146" s="54">
        <v>45541</v>
      </c>
      <c r="B1146" s="45">
        <v>37045.67</v>
      </c>
      <c r="C1146" s="45">
        <v>37045.67</v>
      </c>
      <c r="D1146" s="45">
        <v>37045.67</v>
      </c>
      <c r="E1146" s="45">
        <v>37045.67</v>
      </c>
      <c r="F1146" s="18"/>
      <c r="G1146" s="22">
        <v>-1.2E-2</v>
      </c>
    </row>
    <row r="1147" spans="1:7" x14ac:dyDescent="0.3">
      <c r="A1147" s="54">
        <v>45544</v>
      </c>
      <c r="B1147" s="45">
        <v>37084.589999999997</v>
      </c>
      <c r="C1147" s="45">
        <v>37084.589999999997</v>
      </c>
      <c r="D1147" s="45">
        <v>37084.589999999997</v>
      </c>
      <c r="E1147" s="45">
        <v>37084.589999999997</v>
      </c>
      <c r="F1147" s="18"/>
      <c r="G1147" s="22">
        <v>1.1000000000000001E-3</v>
      </c>
    </row>
    <row r="1148" spans="1:7" x14ac:dyDescent="0.3">
      <c r="A1148" s="54">
        <v>45545</v>
      </c>
      <c r="B1148" s="45">
        <v>37307.879999999997</v>
      </c>
      <c r="C1148" s="45">
        <v>37307.879999999997</v>
      </c>
      <c r="D1148" s="45">
        <v>37307.879999999997</v>
      </c>
      <c r="E1148" s="45">
        <v>37307.879999999997</v>
      </c>
      <c r="F1148" s="18"/>
      <c r="G1148" s="22">
        <v>6.0000000000000001E-3</v>
      </c>
    </row>
    <row r="1149" spans="1:7" x14ac:dyDescent="0.3">
      <c r="A1149" s="54">
        <v>45546</v>
      </c>
      <c r="B1149" s="45">
        <v>37130.71</v>
      </c>
      <c r="C1149" s="45">
        <v>37130.71</v>
      </c>
      <c r="D1149" s="45">
        <v>37130.71</v>
      </c>
      <c r="E1149" s="45">
        <v>37130.71</v>
      </c>
      <c r="F1149" s="18"/>
      <c r="G1149" s="22">
        <v>-4.7000000000000002E-3</v>
      </c>
    </row>
    <row r="1150" spans="1:7" x14ac:dyDescent="0.3">
      <c r="A1150" s="54">
        <v>45547</v>
      </c>
      <c r="B1150" s="45">
        <v>37724.21</v>
      </c>
      <c r="C1150" s="45">
        <v>37724.21</v>
      </c>
      <c r="D1150" s="45">
        <v>37724.21</v>
      </c>
      <c r="E1150" s="45">
        <v>37724.21</v>
      </c>
      <c r="F1150" s="18"/>
      <c r="G1150" s="22">
        <v>1.6E-2</v>
      </c>
    </row>
    <row r="1151" spans="1:7" x14ac:dyDescent="0.3">
      <c r="A1151" s="54">
        <v>45548</v>
      </c>
      <c r="B1151" s="45">
        <v>37757.919999999998</v>
      </c>
      <c r="C1151" s="45">
        <v>37757.919999999998</v>
      </c>
      <c r="D1151" s="45">
        <v>37757.919999999998</v>
      </c>
      <c r="E1151" s="45">
        <v>37757.919999999998</v>
      </c>
      <c r="F1151" s="18"/>
      <c r="G1151" s="22">
        <v>8.9999999999999998E-4</v>
      </c>
    </row>
    <row r="1152" spans="1:7" x14ac:dyDescent="0.3">
      <c r="A1152" s="54">
        <v>45551</v>
      </c>
      <c r="B1152" s="45">
        <v>37821.03</v>
      </c>
      <c r="C1152" s="45">
        <v>37821.03</v>
      </c>
      <c r="D1152" s="45">
        <v>37821.03</v>
      </c>
      <c r="E1152" s="45">
        <v>37821.03</v>
      </c>
      <c r="F1152" s="18"/>
      <c r="G1152" s="22">
        <v>1.6999999999999999E-3</v>
      </c>
    </row>
    <row r="1153" spans="1:7" x14ac:dyDescent="0.3">
      <c r="A1153" s="54">
        <v>45552</v>
      </c>
      <c r="B1153" s="45">
        <v>37824.519999999997</v>
      </c>
      <c r="C1153" s="45">
        <v>37824.519999999997</v>
      </c>
      <c r="D1153" s="45">
        <v>37824.519999999997</v>
      </c>
      <c r="E1153" s="45">
        <v>37824.519999999997</v>
      </c>
      <c r="F1153" s="18"/>
      <c r="G1153" s="22">
        <v>1E-4</v>
      </c>
    </row>
    <row r="1154" spans="1:7" x14ac:dyDescent="0.3">
      <c r="A1154" s="54">
        <v>45553</v>
      </c>
      <c r="B1154" s="45">
        <v>37712.14</v>
      </c>
      <c r="C1154" s="45">
        <v>37712.14</v>
      </c>
      <c r="D1154" s="45">
        <v>37712.14</v>
      </c>
      <c r="E1154" s="45">
        <v>37712.14</v>
      </c>
      <c r="F1154" s="18"/>
      <c r="G1154" s="22">
        <v>-3.0000000000000001E-3</v>
      </c>
    </row>
    <row r="1155" spans="1:7" x14ac:dyDescent="0.3">
      <c r="A1155" s="54">
        <v>45554</v>
      </c>
      <c r="B1155" s="45">
        <v>37642.28</v>
      </c>
      <c r="C1155" s="45">
        <v>37642.28</v>
      </c>
      <c r="D1155" s="45">
        <v>37642.28</v>
      </c>
      <c r="E1155" s="45">
        <v>37642.28</v>
      </c>
      <c r="F1155" s="18"/>
      <c r="G1155" s="22">
        <v>-1.9E-3</v>
      </c>
    </row>
    <row r="1156" spans="1:7" x14ac:dyDescent="0.3">
      <c r="A1156" s="54">
        <v>45555</v>
      </c>
      <c r="B1156" s="45">
        <v>38179.29</v>
      </c>
      <c r="C1156" s="45">
        <v>38179.29</v>
      </c>
      <c r="D1156" s="45">
        <v>38179.29</v>
      </c>
      <c r="E1156" s="45">
        <v>38179.29</v>
      </c>
      <c r="F1156" s="18"/>
      <c r="G1156" s="22">
        <v>1.43E-2</v>
      </c>
    </row>
    <row r="1157" spans="1:7" x14ac:dyDescent="0.3">
      <c r="A1157" s="54">
        <v>45558</v>
      </c>
      <c r="B1157" s="45">
        <v>38472.29</v>
      </c>
      <c r="C1157" s="45">
        <v>38472.29</v>
      </c>
      <c r="D1157" s="45">
        <v>38472.29</v>
      </c>
      <c r="E1157" s="45">
        <v>38472.29</v>
      </c>
      <c r="F1157" s="18"/>
      <c r="G1157" s="22">
        <v>7.7000000000000002E-3</v>
      </c>
    </row>
    <row r="1158" spans="1:7" x14ac:dyDescent="0.3">
      <c r="A1158" s="54">
        <v>45559</v>
      </c>
      <c r="B1158" s="45">
        <v>38488.870000000003</v>
      </c>
      <c r="C1158" s="45">
        <v>38488.870000000003</v>
      </c>
      <c r="D1158" s="45">
        <v>38488.870000000003</v>
      </c>
      <c r="E1158" s="45">
        <v>38488.870000000003</v>
      </c>
      <c r="F1158" s="18"/>
      <c r="G1158" s="22">
        <v>4.0000000000000002E-4</v>
      </c>
    </row>
    <row r="1159" spans="1:7" x14ac:dyDescent="0.3">
      <c r="A1159" s="54">
        <v>45560</v>
      </c>
      <c r="B1159" s="45">
        <v>38460.31</v>
      </c>
      <c r="C1159" s="45">
        <v>38460.31</v>
      </c>
      <c r="D1159" s="45">
        <v>38460.31</v>
      </c>
      <c r="E1159" s="45">
        <v>38460.31</v>
      </c>
      <c r="F1159" s="18"/>
      <c r="G1159" s="22">
        <v>-6.9999999999999999E-4</v>
      </c>
    </row>
    <row r="1160" spans="1:7" x14ac:dyDescent="0.3">
      <c r="A1160" s="54">
        <v>45561</v>
      </c>
      <c r="B1160" s="45">
        <v>38658.58</v>
      </c>
      <c r="C1160" s="45">
        <v>38658.58</v>
      </c>
      <c r="D1160" s="45">
        <v>38658.58</v>
      </c>
      <c r="E1160" s="45">
        <v>38658.58</v>
      </c>
      <c r="F1160" s="18"/>
      <c r="G1160" s="22">
        <v>5.1999999999999998E-3</v>
      </c>
    </row>
    <row r="1161" spans="1:7" x14ac:dyDescent="0.3">
      <c r="A1161" s="54">
        <v>45562</v>
      </c>
      <c r="B1161" s="45">
        <v>38646.949999999997</v>
      </c>
      <c r="C1161" s="45">
        <v>38646.949999999997</v>
      </c>
      <c r="D1161" s="45">
        <v>38646.949999999997</v>
      </c>
      <c r="E1161" s="45">
        <v>38646.949999999997</v>
      </c>
      <c r="F1161" s="18"/>
      <c r="G1161" s="22">
        <v>-2.9999999999999997E-4</v>
      </c>
    </row>
    <row r="1162" spans="1:7" x14ac:dyDescent="0.3">
      <c r="A1162" s="54">
        <v>45565</v>
      </c>
      <c r="B1162" s="45">
        <v>38261.39</v>
      </c>
      <c r="C1162" s="45">
        <v>38261.39</v>
      </c>
      <c r="D1162" s="45">
        <v>38261.39</v>
      </c>
      <c r="E1162" s="45">
        <v>38261.39</v>
      </c>
      <c r="F1162" s="18"/>
      <c r="G1162" s="22">
        <v>-0.01</v>
      </c>
    </row>
    <row r="1163" spans="1:7" x14ac:dyDescent="0.3">
      <c r="A1163" s="54">
        <v>45568</v>
      </c>
      <c r="B1163" s="45">
        <v>37488.51</v>
      </c>
      <c r="C1163" s="45">
        <v>37488.51</v>
      </c>
      <c r="D1163" s="45">
        <v>37488.51</v>
      </c>
      <c r="E1163" s="45">
        <v>37488.51</v>
      </c>
      <c r="F1163" s="18"/>
      <c r="G1163" s="22">
        <v>-2.0199999999999999E-2</v>
      </c>
    </row>
    <row r="1164" spans="1:7" x14ac:dyDescent="0.3">
      <c r="A1164" s="54">
        <v>45569</v>
      </c>
      <c r="B1164" s="45">
        <v>37140.49</v>
      </c>
      <c r="C1164" s="45">
        <v>37140.49</v>
      </c>
      <c r="D1164" s="45">
        <v>37140.49</v>
      </c>
      <c r="E1164" s="45">
        <v>37140.49</v>
      </c>
      <c r="F1164" s="18"/>
      <c r="G1164" s="22">
        <v>-9.2999999999999992E-3</v>
      </c>
    </row>
    <row r="1165" spans="1:7" x14ac:dyDescent="0.3">
      <c r="A1165" s="54">
        <v>45572</v>
      </c>
      <c r="B1165" s="45">
        <v>36583.47</v>
      </c>
      <c r="C1165" s="45">
        <v>36583.47</v>
      </c>
      <c r="D1165" s="45">
        <v>36583.47</v>
      </c>
      <c r="E1165" s="45">
        <v>36583.47</v>
      </c>
      <c r="F1165" s="18"/>
      <c r="G1165" s="22">
        <v>-1.4999999999999999E-2</v>
      </c>
    </row>
    <row r="1166" spans="1:7" x14ac:dyDescent="0.3">
      <c r="A1166" s="54">
        <v>45573</v>
      </c>
      <c r="B1166" s="45">
        <v>37105.17</v>
      </c>
      <c r="C1166" s="45">
        <v>37105.17</v>
      </c>
      <c r="D1166" s="45">
        <v>37105.17</v>
      </c>
      <c r="E1166" s="45">
        <v>37105.17</v>
      </c>
      <c r="F1166" s="18"/>
      <c r="G1166" s="22">
        <v>1.43E-2</v>
      </c>
    </row>
    <row r="1167" spans="1:7" x14ac:dyDescent="0.3">
      <c r="A1167" s="54">
        <v>45574</v>
      </c>
      <c r="B1167" s="45">
        <v>37242.54</v>
      </c>
      <c r="C1167" s="45">
        <v>37242.54</v>
      </c>
      <c r="D1167" s="45">
        <v>37242.54</v>
      </c>
      <c r="E1167" s="45">
        <v>37242.54</v>
      </c>
      <c r="F1167" s="18"/>
      <c r="G1167" s="22">
        <v>3.7000000000000002E-3</v>
      </c>
    </row>
    <row r="1168" spans="1:7" x14ac:dyDescent="0.3">
      <c r="A1168" s="54">
        <v>45575</v>
      </c>
      <c r="B1168" s="45">
        <v>37240.29</v>
      </c>
      <c r="C1168" s="45">
        <v>37240.29</v>
      </c>
      <c r="D1168" s="45">
        <v>37240.29</v>
      </c>
      <c r="E1168" s="45">
        <v>37240.29</v>
      </c>
      <c r="F1168" s="18"/>
      <c r="G1168" s="22">
        <v>-1E-4</v>
      </c>
    </row>
    <row r="1169" spans="1:7" x14ac:dyDescent="0.3">
      <c r="A1169" s="54">
        <v>45576</v>
      </c>
      <c r="B1169" s="45">
        <v>37261.17</v>
      </c>
      <c r="C1169" s="45">
        <v>37261.17</v>
      </c>
      <c r="D1169" s="45">
        <v>37261.17</v>
      </c>
      <c r="E1169" s="45">
        <v>37261.17</v>
      </c>
      <c r="F1169" s="18"/>
      <c r="G1169" s="22">
        <v>5.9999999999999995E-4</v>
      </c>
    </row>
    <row r="1170" spans="1:7" x14ac:dyDescent="0.3">
      <c r="A1170" s="54">
        <v>45579</v>
      </c>
      <c r="B1170" s="45">
        <v>37443.97</v>
      </c>
      <c r="C1170" s="45">
        <v>37443.97</v>
      </c>
      <c r="D1170" s="45">
        <v>37443.97</v>
      </c>
      <c r="E1170" s="45">
        <v>37443.97</v>
      </c>
      <c r="F1170" s="18"/>
      <c r="G1170" s="22">
        <v>4.8999999999999998E-3</v>
      </c>
    </row>
    <row r="1171" spans="1:7" x14ac:dyDescent="0.3">
      <c r="A1171" s="54">
        <v>45580</v>
      </c>
      <c r="B1171" s="45">
        <v>37457.599999999999</v>
      </c>
      <c r="C1171" s="45">
        <v>37457.599999999999</v>
      </c>
      <c r="D1171" s="45">
        <v>37457.599999999999</v>
      </c>
      <c r="E1171" s="45">
        <v>37457.599999999999</v>
      </c>
      <c r="F1171" s="18"/>
      <c r="G1171" s="22">
        <v>4.0000000000000002E-4</v>
      </c>
    </row>
    <row r="1172" spans="1:7" x14ac:dyDescent="0.3">
      <c r="A1172" s="54">
        <v>45581</v>
      </c>
      <c r="B1172" s="45">
        <v>37358.9</v>
      </c>
      <c r="C1172" s="45">
        <v>37358.9</v>
      </c>
      <c r="D1172" s="45">
        <v>37358.9</v>
      </c>
      <c r="E1172" s="45">
        <v>37358.9</v>
      </c>
      <c r="F1172" s="18"/>
      <c r="G1172" s="22">
        <v>-2.5999999999999999E-3</v>
      </c>
    </row>
    <row r="1173" spans="1:7" x14ac:dyDescent="0.3">
      <c r="A1173" s="54">
        <v>45582</v>
      </c>
      <c r="B1173" s="45">
        <v>36891.5</v>
      </c>
      <c r="C1173" s="45">
        <v>36891.5</v>
      </c>
      <c r="D1173" s="45">
        <v>36891.5</v>
      </c>
      <c r="E1173" s="45">
        <v>36891.5</v>
      </c>
      <c r="F1173" s="18"/>
      <c r="G1173" s="22">
        <v>-1.2500000000000001E-2</v>
      </c>
    </row>
    <row r="1174" spans="1:7" x14ac:dyDescent="0.3">
      <c r="A1174" s="54">
        <v>45583</v>
      </c>
      <c r="B1174" s="45">
        <v>36994.04</v>
      </c>
      <c r="C1174" s="45">
        <v>36994.04</v>
      </c>
      <c r="D1174" s="45">
        <v>36994.04</v>
      </c>
      <c r="E1174" s="45">
        <v>36994.04</v>
      </c>
      <c r="F1174" s="18"/>
      <c r="G1174" s="22">
        <v>2.8E-3</v>
      </c>
    </row>
    <row r="1175" spans="1:7" x14ac:dyDescent="0.3">
      <c r="A1175" s="54">
        <v>45586</v>
      </c>
      <c r="B1175" s="45">
        <v>36713.97</v>
      </c>
      <c r="C1175" s="45">
        <v>36713.97</v>
      </c>
      <c r="D1175" s="45">
        <v>36713.97</v>
      </c>
      <c r="E1175" s="45">
        <v>36713.97</v>
      </c>
      <c r="F1175" s="18"/>
      <c r="G1175" s="22">
        <v>-7.6E-3</v>
      </c>
    </row>
    <row r="1176" spans="1:7" x14ac:dyDescent="0.3">
      <c r="A1176" s="54">
        <v>45587</v>
      </c>
      <c r="B1176" s="45">
        <v>36008.15</v>
      </c>
      <c r="C1176" s="45">
        <v>36008.15</v>
      </c>
      <c r="D1176" s="45">
        <v>36008.15</v>
      </c>
      <c r="E1176" s="45">
        <v>36008.15</v>
      </c>
      <c r="F1176" s="18"/>
      <c r="G1176" s="22">
        <v>-1.9199999999999998E-2</v>
      </c>
    </row>
    <row r="1177" spans="1:7" x14ac:dyDescent="0.3">
      <c r="A1177" s="54">
        <v>45588</v>
      </c>
      <c r="B1177" s="45">
        <v>36050.230000000003</v>
      </c>
      <c r="C1177" s="45">
        <v>36050.230000000003</v>
      </c>
      <c r="D1177" s="45">
        <v>36050.230000000003</v>
      </c>
      <c r="E1177" s="45">
        <v>36050.230000000003</v>
      </c>
      <c r="F1177" s="18"/>
      <c r="G1177" s="22">
        <v>1.1999999999999999E-3</v>
      </c>
    </row>
    <row r="1178" spans="1:7" x14ac:dyDescent="0.3">
      <c r="A1178" s="54">
        <v>45589</v>
      </c>
      <c r="B1178" s="45">
        <v>35966.15</v>
      </c>
      <c r="C1178" s="45">
        <v>35966.15</v>
      </c>
      <c r="D1178" s="45">
        <v>35966.15</v>
      </c>
      <c r="E1178" s="45">
        <v>35966.15</v>
      </c>
      <c r="F1178" s="18"/>
      <c r="G1178" s="22">
        <v>-2.3E-3</v>
      </c>
    </row>
    <row r="1179" spans="1:7" x14ac:dyDescent="0.3">
      <c r="A1179" s="54">
        <v>45590</v>
      </c>
      <c r="B1179" s="45">
        <v>35510.879999999997</v>
      </c>
      <c r="C1179" s="45">
        <v>35510.879999999997</v>
      </c>
      <c r="D1179" s="45">
        <v>35510.879999999997</v>
      </c>
      <c r="E1179" s="45">
        <v>35510.879999999997</v>
      </c>
      <c r="F1179" s="18"/>
      <c r="G1179" s="22">
        <v>-1.2699999999999999E-2</v>
      </c>
    </row>
    <row r="1180" spans="1:7" x14ac:dyDescent="0.3">
      <c r="A1180" s="54">
        <v>45593</v>
      </c>
      <c r="B1180" s="45">
        <v>35749.31</v>
      </c>
      <c r="C1180" s="45">
        <v>35749.31</v>
      </c>
      <c r="D1180" s="45">
        <v>35749.31</v>
      </c>
      <c r="E1180" s="45">
        <v>35749.31</v>
      </c>
      <c r="F1180" s="18"/>
      <c r="G1180" s="22">
        <v>6.7000000000000002E-3</v>
      </c>
    </row>
    <row r="1181" spans="1:7" x14ac:dyDescent="0.3">
      <c r="A1181" s="54">
        <v>45594</v>
      </c>
      <c r="B1181" s="45">
        <v>35992.9</v>
      </c>
      <c r="C1181" s="45">
        <v>35992.9</v>
      </c>
      <c r="D1181" s="45">
        <v>35992.9</v>
      </c>
      <c r="E1181" s="45">
        <v>35992.9</v>
      </c>
      <c r="F1181" s="18"/>
      <c r="G1181" s="22">
        <v>6.7999999999999996E-3</v>
      </c>
    </row>
    <row r="1182" spans="1:7" x14ac:dyDescent="0.3">
      <c r="A1182" s="54">
        <v>45595</v>
      </c>
      <c r="B1182" s="45">
        <v>35921.769999999997</v>
      </c>
      <c r="C1182" s="45">
        <v>35921.769999999997</v>
      </c>
      <c r="D1182" s="45">
        <v>35921.769999999997</v>
      </c>
      <c r="E1182" s="45">
        <v>35921.769999999997</v>
      </c>
      <c r="F1182" s="18"/>
      <c r="G1182" s="22">
        <v>-2E-3</v>
      </c>
    </row>
    <row r="1183" spans="1:7" x14ac:dyDescent="0.3">
      <c r="A1183" s="54">
        <v>45596</v>
      </c>
      <c r="B1183" s="45">
        <v>35830.980000000003</v>
      </c>
      <c r="C1183" s="45">
        <v>35830.980000000003</v>
      </c>
      <c r="D1183" s="45">
        <v>35830.980000000003</v>
      </c>
      <c r="E1183" s="45">
        <v>35830.980000000003</v>
      </c>
      <c r="F1183" s="18"/>
      <c r="G1183" s="22">
        <v>-2.5000000000000001E-3</v>
      </c>
    </row>
    <row r="1184" spans="1:7" x14ac:dyDescent="0.3">
      <c r="A1184" s="54">
        <v>45597</v>
      </c>
      <c r="B1184" s="45">
        <v>36042.89</v>
      </c>
      <c r="C1184" s="45">
        <v>36042.89</v>
      </c>
      <c r="D1184" s="45">
        <v>36042.89</v>
      </c>
      <c r="E1184" s="45">
        <v>36042.89</v>
      </c>
      <c r="F1184" s="18"/>
      <c r="G1184" s="22">
        <v>5.8999999999999999E-3</v>
      </c>
    </row>
    <row r="1185" spans="1:7" x14ac:dyDescent="0.3">
      <c r="A1185" s="54">
        <v>45600</v>
      </c>
      <c r="B1185" s="45">
        <v>35561.760000000002</v>
      </c>
      <c r="C1185" s="45">
        <v>35561.760000000002</v>
      </c>
      <c r="D1185" s="45">
        <v>35561.760000000002</v>
      </c>
      <c r="E1185" s="45">
        <v>35561.760000000002</v>
      </c>
      <c r="F1185" s="18"/>
      <c r="G1185" s="22">
        <v>-1.3299999999999999E-2</v>
      </c>
    </row>
    <row r="1186" spans="1:7" x14ac:dyDescent="0.3">
      <c r="A1186" s="54">
        <v>45601</v>
      </c>
      <c r="B1186" s="45">
        <v>35816.9</v>
      </c>
      <c r="C1186" s="45">
        <v>35816.9</v>
      </c>
      <c r="D1186" s="45">
        <v>35816.9</v>
      </c>
      <c r="E1186" s="45">
        <v>35816.9</v>
      </c>
      <c r="F1186" s="18"/>
      <c r="G1186" s="22">
        <v>7.1999999999999998E-3</v>
      </c>
    </row>
    <row r="1187" spans="1:7" x14ac:dyDescent="0.3">
      <c r="A1187" s="54">
        <v>45602</v>
      </c>
      <c r="B1187" s="45">
        <v>36377.550000000003</v>
      </c>
      <c r="C1187" s="45">
        <v>36377.550000000003</v>
      </c>
      <c r="D1187" s="45">
        <v>36377.550000000003</v>
      </c>
      <c r="E1187" s="45">
        <v>36377.550000000003</v>
      </c>
      <c r="F1187" s="18"/>
      <c r="G1187" s="22">
        <v>1.5699999999999999E-2</v>
      </c>
    </row>
    <row r="1188" spans="1:7" x14ac:dyDescent="0.3">
      <c r="A1188" s="54">
        <v>45603</v>
      </c>
      <c r="B1188" s="45">
        <v>36023.67</v>
      </c>
      <c r="C1188" s="45">
        <v>36023.67</v>
      </c>
      <c r="D1188" s="45">
        <v>36023.67</v>
      </c>
      <c r="E1188" s="45">
        <v>36023.67</v>
      </c>
      <c r="F1188" s="18"/>
      <c r="G1188" s="22">
        <v>-9.7000000000000003E-3</v>
      </c>
    </row>
    <row r="1189" spans="1:7" x14ac:dyDescent="0.3">
      <c r="A1189" s="54">
        <v>45604</v>
      </c>
      <c r="B1189" s="45">
        <v>35771.65</v>
      </c>
      <c r="C1189" s="45">
        <v>35771.65</v>
      </c>
      <c r="D1189" s="45">
        <v>35771.65</v>
      </c>
      <c r="E1189" s="45">
        <v>35771.65</v>
      </c>
      <c r="F1189" s="18"/>
      <c r="G1189" s="22">
        <v>-7.0000000000000001E-3</v>
      </c>
    </row>
    <row r="1190" spans="1:7" x14ac:dyDescent="0.3">
      <c r="A1190" s="54">
        <v>45607</v>
      </c>
      <c r="B1190" s="45">
        <v>35685.949999999997</v>
      </c>
      <c r="C1190" s="45">
        <v>35685.949999999997</v>
      </c>
      <c r="D1190" s="45">
        <v>35685.949999999997</v>
      </c>
      <c r="E1190" s="45">
        <v>35685.949999999997</v>
      </c>
      <c r="F1190" s="18"/>
      <c r="G1190" s="22">
        <v>-2.3999999999999998E-3</v>
      </c>
    </row>
    <row r="1191" spans="1:7" x14ac:dyDescent="0.3">
      <c r="A1191" s="54">
        <v>45608</v>
      </c>
      <c r="B1191" s="45">
        <v>35275.39</v>
      </c>
      <c r="C1191" s="45">
        <v>35275.39</v>
      </c>
      <c r="D1191" s="45">
        <v>35275.39</v>
      </c>
      <c r="E1191" s="45">
        <v>35275.39</v>
      </c>
      <c r="F1191" s="18"/>
      <c r="G1191" s="22">
        <v>-1.15E-2</v>
      </c>
    </row>
    <row r="1192" spans="1:7" x14ac:dyDescent="0.3">
      <c r="A1192" s="54">
        <v>45609</v>
      </c>
      <c r="B1192" s="45">
        <v>34618.080000000002</v>
      </c>
      <c r="C1192" s="45">
        <v>34618.080000000002</v>
      </c>
      <c r="D1192" s="45">
        <v>34618.080000000002</v>
      </c>
      <c r="E1192" s="45">
        <v>34618.080000000002</v>
      </c>
      <c r="F1192" s="18"/>
      <c r="G1192" s="22">
        <v>-1.8599999999999998E-2</v>
      </c>
    </row>
    <row r="1193" spans="1:7" x14ac:dyDescent="0.3">
      <c r="A1193" s="54">
        <v>45610</v>
      </c>
      <c r="B1193" s="45">
        <v>34699.379999999997</v>
      </c>
      <c r="C1193" s="45">
        <v>34699.379999999997</v>
      </c>
      <c r="D1193" s="45">
        <v>34699.379999999997</v>
      </c>
      <c r="E1193" s="45">
        <v>34699.379999999997</v>
      </c>
      <c r="F1193" s="18"/>
      <c r="G1193" s="22">
        <v>2.3E-3</v>
      </c>
    </row>
    <row r="1194" spans="1:7" x14ac:dyDescent="0.3">
      <c r="A1194" s="54">
        <v>45614</v>
      </c>
      <c r="B1194" s="45">
        <v>34599.089999999997</v>
      </c>
      <c r="C1194" s="45">
        <v>34599.089999999997</v>
      </c>
      <c r="D1194" s="45">
        <v>34599.089999999997</v>
      </c>
      <c r="E1194" s="45">
        <v>34599.089999999997</v>
      </c>
      <c r="F1194" s="18"/>
      <c r="G1194" s="22">
        <v>-2.8999999999999998E-3</v>
      </c>
    </row>
    <row r="1195" spans="1:7" x14ac:dyDescent="0.3">
      <c r="A1195" s="54">
        <v>45617</v>
      </c>
      <c r="B1195" s="45">
        <v>34476.589999999997</v>
      </c>
      <c r="C1195" s="45">
        <v>34476.589999999997</v>
      </c>
      <c r="D1195" s="45">
        <v>34476.589999999997</v>
      </c>
      <c r="E1195" s="45">
        <v>34476.589999999997</v>
      </c>
      <c r="F1195" s="18"/>
      <c r="G1195" s="22">
        <v>-3.5000000000000001E-3</v>
      </c>
    </row>
    <row r="1196" spans="1:7" x14ac:dyDescent="0.3">
      <c r="A1196" s="54">
        <v>45618</v>
      </c>
      <c r="B1196" s="45">
        <v>35116</v>
      </c>
      <c r="C1196" s="45">
        <v>35116</v>
      </c>
      <c r="D1196" s="45">
        <v>35116</v>
      </c>
      <c r="E1196" s="45">
        <v>35116</v>
      </c>
      <c r="F1196" s="18"/>
      <c r="G1196" s="22">
        <v>1.8499999999999999E-2</v>
      </c>
    </row>
    <row r="1197" spans="1:7" x14ac:dyDescent="0.3">
      <c r="A1197" s="54">
        <v>45621</v>
      </c>
      <c r="B1197" s="45">
        <v>35635.18</v>
      </c>
      <c r="C1197" s="45">
        <v>35635.18</v>
      </c>
      <c r="D1197" s="45">
        <v>35635.18</v>
      </c>
      <c r="E1197" s="45">
        <v>35635.18</v>
      </c>
      <c r="F1197" s="18"/>
      <c r="G1197" s="22">
        <v>1.4800000000000001E-2</v>
      </c>
    </row>
    <row r="1198" spans="1:7" x14ac:dyDescent="0.3">
      <c r="A1198" s="54">
        <v>45622</v>
      </c>
      <c r="B1198" s="45">
        <v>35649.51</v>
      </c>
      <c r="C1198" s="45">
        <v>35649.51</v>
      </c>
      <c r="D1198" s="45">
        <v>35649.51</v>
      </c>
      <c r="E1198" s="45">
        <v>35649.51</v>
      </c>
      <c r="F1198" s="18"/>
      <c r="G1198" s="22">
        <v>4.0000000000000002E-4</v>
      </c>
    </row>
    <row r="1199" spans="1:7" x14ac:dyDescent="0.3">
      <c r="A1199" s="54">
        <v>45623</v>
      </c>
      <c r="B1199" s="45">
        <v>35853.83</v>
      </c>
      <c r="C1199" s="45">
        <v>35853.83</v>
      </c>
      <c r="D1199" s="45">
        <v>35853.83</v>
      </c>
      <c r="E1199" s="45">
        <v>35853.83</v>
      </c>
      <c r="F1199" s="18"/>
      <c r="G1199" s="22">
        <v>5.7000000000000002E-3</v>
      </c>
    </row>
    <row r="1200" spans="1:7" x14ac:dyDescent="0.3">
      <c r="A1200" s="54">
        <v>45624</v>
      </c>
      <c r="B1200" s="45">
        <v>35573.800000000003</v>
      </c>
      <c r="C1200" s="45">
        <v>35573.800000000003</v>
      </c>
      <c r="D1200" s="45">
        <v>35573.800000000003</v>
      </c>
      <c r="E1200" s="45">
        <v>35573.800000000003</v>
      </c>
      <c r="F1200" s="18"/>
      <c r="G1200" s="22">
        <v>-7.7999999999999996E-3</v>
      </c>
    </row>
    <row r="1201" spans="1:7" x14ac:dyDescent="0.3">
      <c r="A1201" s="54">
        <v>45625</v>
      </c>
      <c r="B1201" s="45">
        <v>35847.4</v>
      </c>
      <c r="C1201" s="45">
        <v>35847.4</v>
      </c>
      <c r="D1201" s="45">
        <v>35847.4</v>
      </c>
      <c r="E1201" s="45">
        <v>35847.4</v>
      </c>
      <c r="F1201" s="18"/>
      <c r="G1201" s="22">
        <v>7.7000000000000002E-3</v>
      </c>
    </row>
    <row r="1202" spans="1:7" x14ac:dyDescent="0.3">
      <c r="A1202" s="54">
        <v>45628</v>
      </c>
      <c r="B1202" s="45">
        <v>36082.61</v>
      </c>
      <c r="C1202" s="45">
        <v>36082.61</v>
      </c>
      <c r="D1202" s="45">
        <v>36082.61</v>
      </c>
      <c r="E1202" s="45">
        <v>36082.61</v>
      </c>
      <c r="F1202" s="18"/>
      <c r="G1202" s="22">
        <v>6.6E-3</v>
      </c>
    </row>
    <row r="1203" spans="1:7" x14ac:dyDescent="0.3">
      <c r="A1203" s="54">
        <v>45629</v>
      </c>
      <c r="B1203" s="45">
        <v>36374.879999999997</v>
      </c>
      <c r="C1203" s="45">
        <v>36374.879999999997</v>
      </c>
      <c r="D1203" s="45">
        <v>36374.879999999997</v>
      </c>
      <c r="E1203" s="45">
        <v>36374.879999999997</v>
      </c>
      <c r="F1203" s="18"/>
      <c r="G1203" s="22">
        <v>8.0999999999999996E-3</v>
      </c>
    </row>
    <row r="1204" spans="1:7" x14ac:dyDescent="0.3">
      <c r="A1204" s="54">
        <v>45630</v>
      </c>
      <c r="B1204" s="45">
        <v>36499.26</v>
      </c>
      <c r="C1204" s="45">
        <v>36499.26</v>
      </c>
      <c r="D1204" s="45">
        <v>36499.26</v>
      </c>
      <c r="E1204" s="45">
        <v>36499.26</v>
      </c>
      <c r="F1204" s="18"/>
      <c r="G1204" s="22">
        <v>3.3999999999999998E-3</v>
      </c>
    </row>
    <row r="1205" spans="1:7" x14ac:dyDescent="0.3">
      <c r="A1205" s="54">
        <v>45631</v>
      </c>
      <c r="B1205" s="45">
        <v>36781.26</v>
      </c>
      <c r="C1205" s="45">
        <v>36781.26</v>
      </c>
      <c r="D1205" s="45">
        <v>36781.26</v>
      </c>
      <c r="E1205" s="45">
        <v>36781.26</v>
      </c>
      <c r="F1205" s="18"/>
      <c r="G1205" s="22">
        <v>7.7000000000000002E-3</v>
      </c>
    </row>
    <row r="1206" spans="1:7" x14ac:dyDescent="0.3">
      <c r="A1206" s="54">
        <v>45632</v>
      </c>
      <c r="B1206" s="45">
        <v>36835.17</v>
      </c>
      <c r="C1206" s="45">
        <v>36835.17</v>
      </c>
      <c r="D1206" s="45">
        <v>36835.17</v>
      </c>
      <c r="E1206" s="45">
        <v>36835.17</v>
      </c>
      <c r="F1206" s="18"/>
      <c r="G1206" s="22">
        <v>1.5E-3</v>
      </c>
    </row>
    <row r="1207" spans="1:7" x14ac:dyDescent="0.3">
      <c r="A1207" s="54">
        <v>45635</v>
      </c>
      <c r="B1207" s="45">
        <v>36803.449999999997</v>
      </c>
      <c r="C1207" s="45">
        <v>36803.449999999997</v>
      </c>
      <c r="D1207" s="45">
        <v>36803.449999999997</v>
      </c>
      <c r="E1207" s="45">
        <v>36803.449999999997</v>
      </c>
      <c r="F1207" s="18"/>
      <c r="G1207" s="22">
        <v>-8.9999999999999998E-4</v>
      </c>
    </row>
    <row r="1208" spans="1:7" x14ac:dyDescent="0.3">
      <c r="A1208" s="54">
        <v>45636</v>
      </c>
      <c r="B1208" s="45">
        <v>36839.599999999999</v>
      </c>
      <c r="C1208" s="45">
        <v>36839.599999999999</v>
      </c>
      <c r="D1208" s="45">
        <v>36839.599999999999</v>
      </c>
      <c r="E1208" s="45">
        <v>36839.599999999999</v>
      </c>
      <c r="F1208" s="18"/>
      <c r="G1208" s="22">
        <v>1E-3</v>
      </c>
    </row>
    <row r="1209" spans="1:7" x14ac:dyDescent="0.3">
      <c r="A1209" s="54">
        <v>45637</v>
      </c>
      <c r="B1209" s="45">
        <v>36907.949999999997</v>
      </c>
      <c r="C1209" s="45">
        <v>36907.949999999997</v>
      </c>
      <c r="D1209" s="45">
        <v>36907.949999999997</v>
      </c>
      <c r="E1209" s="45">
        <v>36907.949999999997</v>
      </c>
      <c r="F1209" s="18"/>
      <c r="G1209" s="22">
        <v>1.9E-3</v>
      </c>
    </row>
    <row r="1210" spans="1:7" x14ac:dyDescent="0.3">
      <c r="A1210" s="54">
        <v>45638</v>
      </c>
      <c r="B1210" s="45">
        <v>36747.199999999997</v>
      </c>
      <c r="C1210" s="45">
        <v>36747.199999999997</v>
      </c>
      <c r="D1210" s="45">
        <v>36747.199999999997</v>
      </c>
      <c r="E1210" s="45">
        <v>36747.199999999997</v>
      </c>
      <c r="F1210" s="18"/>
      <c r="G1210" s="22">
        <v>-4.4000000000000003E-3</v>
      </c>
    </row>
    <row r="1211" spans="1:7" x14ac:dyDescent="0.3">
      <c r="A1211" s="54">
        <v>45639</v>
      </c>
      <c r="B1211" s="45">
        <v>36909.230000000003</v>
      </c>
      <c r="C1211" s="45">
        <v>36909.230000000003</v>
      </c>
      <c r="D1211" s="45">
        <v>36909.230000000003</v>
      </c>
      <c r="E1211" s="45">
        <v>36909.230000000003</v>
      </c>
      <c r="F1211" s="18"/>
      <c r="G1211" s="22">
        <v>4.4000000000000003E-3</v>
      </c>
    </row>
    <row r="1212" spans="1:7" x14ac:dyDescent="0.3">
      <c r="A1212" s="54">
        <v>45642</v>
      </c>
      <c r="B1212" s="45">
        <v>36898.980000000003</v>
      </c>
      <c r="C1212" s="45">
        <v>36898.980000000003</v>
      </c>
      <c r="D1212" s="45">
        <v>36898.980000000003</v>
      </c>
      <c r="E1212" s="45">
        <v>36898.980000000003</v>
      </c>
      <c r="F1212" s="18"/>
      <c r="G1212" s="22">
        <v>-2.9999999999999997E-4</v>
      </c>
    </row>
    <row r="1213" spans="1:7" x14ac:dyDescent="0.3">
      <c r="A1213" s="54">
        <v>45643</v>
      </c>
      <c r="B1213" s="45">
        <v>36493.339999999997</v>
      </c>
      <c r="C1213" s="45">
        <v>36493.339999999997</v>
      </c>
      <c r="D1213" s="45">
        <v>36493.339999999997</v>
      </c>
      <c r="E1213" s="45">
        <v>36493.339999999997</v>
      </c>
      <c r="F1213" s="18"/>
      <c r="G1213" s="22">
        <v>-1.0999999999999999E-2</v>
      </c>
    </row>
    <row r="1214" spans="1:7" x14ac:dyDescent="0.3">
      <c r="A1214" s="54">
        <v>45644</v>
      </c>
      <c r="B1214" s="45">
        <v>36238.39</v>
      </c>
      <c r="C1214" s="45">
        <v>36238.39</v>
      </c>
      <c r="D1214" s="45">
        <v>36238.39</v>
      </c>
      <c r="E1214" s="45">
        <v>36238.39</v>
      </c>
      <c r="F1214" s="18"/>
      <c r="G1214" s="22">
        <v>-7.0000000000000001E-3</v>
      </c>
    </row>
    <row r="1215" spans="1:7" x14ac:dyDescent="0.3">
      <c r="A1215" s="54">
        <v>45645</v>
      </c>
      <c r="B1215" s="45">
        <v>35950.449999999997</v>
      </c>
      <c r="C1215" s="45">
        <v>35950.449999999997</v>
      </c>
      <c r="D1215" s="45">
        <v>35950.449999999997</v>
      </c>
      <c r="E1215" s="45">
        <v>35950.449999999997</v>
      </c>
      <c r="F1215" s="18"/>
      <c r="G1215" s="22">
        <v>-7.9000000000000008E-3</v>
      </c>
    </row>
    <row r="1216" spans="1:7" x14ac:dyDescent="0.3">
      <c r="A1216" s="54">
        <v>45646</v>
      </c>
      <c r="B1216" s="45">
        <v>35266.620000000003</v>
      </c>
      <c r="C1216" s="45">
        <v>35266.620000000003</v>
      </c>
      <c r="D1216" s="45">
        <v>35266.620000000003</v>
      </c>
      <c r="E1216" s="45">
        <v>35266.620000000003</v>
      </c>
      <c r="F1216" s="18"/>
      <c r="G1216" s="22">
        <v>-1.9E-2</v>
      </c>
    </row>
    <row r="1217" spans="1:7" x14ac:dyDescent="0.3">
      <c r="A1217" s="54">
        <v>45649</v>
      </c>
      <c r="B1217" s="45">
        <v>35413.410000000003</v>
      </c>
      <c r="C1217" s="45">
        <v>35413.410000000003</v>
      </c>
      <c r="D1217" s="45">
        <v>35413.410000000003</v>
      </c>
      <c r="E1217" s="45">
        <v>35413.410000000003</v>
      </c>
      <c r="F1217" s="18"/>
      <c r="G1217" s="22">
        <v>4.1999999999999997E-3</v>
      </c>
    </row>
    <row r="1218" spans="1:7" x14ac:dyDescent="0.3">
      <c r="A1218" s="54">
        <v>45650</v>
      </c>
      <c r="B1218" s="45">
        <v>35401.019999999997</v>
      </c>
      <c r="C1218" s="45">
        <v>35401.019999999997</v>
      </c>
      <c r="D1218" s="45">
        <v>35401.019999999997</v>
      </c>
      <c r="E1218" s="45">
        <v>35401.019999999997</v>
      </c>
      <c r="F1218" s="18"/>
      <c r="G1218" s="22">
        <v>-2.9999999999999997E-4</v>
      </c>
    </row>
    <row r="1219" spans="1:7" x14ac:dyDescent="0.3">
      <c r="A1219" s="54">
        <v>45652</v>
      </c>
      <c r="B1219" s="45">
        <v>35444.76</v>
      </c>
      <c r="C1219" s="45">
        <v>35444.76</v>
      </c>
      <c r="D1219" s="45">
        <v>35444.76</v>
      </c>
      <c r="E1219" s="45">
        <v>35444.76</v>
      </c>
      <c r="F1219" s="18"/>
      <c r="G1219" s="22">
        <v>1.1999999999999999E-3</v>
      </c>
    </row>
    <row r="1220" spans="1:7" x14ac:dyDescent="0.3">
      <c r="A1220" s="54">
        <v>45653</v>
      </c>
      <c r="B1220" s="45">
        <v>35468.25</v>
      </c>
      <c r="C1220" s="45">
        <v>35468.25</v>
      </c>
      <c r="D1220" s="45">
        <v>35468.25</v>
      </c>
      <c r="E1220" s="45">
        <v>35468.25</v>
      </c>
      <c r="F1220" s="18"/>
      <c r="G1220" s="22">
        <v>6.9999999999999999E-4</v>
      </c>
    </row>
    <row r="1221" spans="1:7" x14ac:dyDescent="0.3">
      <c r="A1221" s="54">
        <v>45656</v>
      </c>
      <c r="B1221" s="45">
        <v>35329.040000000001</v>
      </c>
      <c r="C1221" s="45">
        <v>35329.040000000001</v>
      </c>
      <c r="D1221" s="45">
        <v>35329.040000000001</v>
      </c>
      <c r="E1221" s="45">
        <v>35329.040000000001</v>
      </c>
      <c r="F1221" s="18"/>
      <c r="G1221" s="22">
        <v>-3.8999999999999998E-3</v>
      </c>
    </row>
    <row r="1222" spans="1:7" x14ac:dyDescent="0.3">
      <c r="A1222" s="54">
        <v>45657</v>
      </c>
      <c r="B1222" s="45">
        <v>35357.9</v>
      </c>
      <c r="C1222" s="45">
        <v>35357.9</v>
      </c>
      <c r="D1222" s="45">
        <v>35357.9</v>
      </c>
      <c r="E1222" s="45">
        <v>35357.9</v>
      </c>
      <c r="F1222" s="18"/>
      <c r="G1222" s="22">
        <v>8.0000000000000004E-4</v>
      </c>
    </row>
    <row r="1223" spans="1:7" x14ac:dyDescent="0.3">
      <c r="A1223" s="54">
        <v>45658</v>
      </c>
      <c r="B1223" s="45">
        <v>35526.080000000002</v>
      </c>
      <c r="C1223" s="45">
        <v>35526.080000000002</v>
      </c>
      <c r="D1223" s="45">
        <v>35526.080000000002</v>
      </c>
      <c r="E1223" s="45">
        <v>35526.080000000002</v>
      </c>
      <c r="F1223" s="18"/>
      <c r="G1223" s="22">
        <v>4.7999999999999996E-3</v>
      </c>
    </row>
    <row r="1224" spans="1:7" x14ac:dyDescent="0.3">
      <c r="A1224" s="54">
        <v>45659</v>
      </c>
      <c r="B1224" s="45">
        <v>36060.050000000003</v>
      </c>
      <c r="C1224" s="45">
        <v>36060.050000000003</v>
      </c>
      <c r="D1224" s="45">
        <v>36060.050000000003</v>
      </c>
      <c r="E1224" s="45">
        <v>36060.050000000003</v>
      </c>
      <c r="F1224" s="18"/>
      <c r="G1224" s="22">
        <v>1.4999999999999999E-2</v>
      </c>
    </row>
    <row r="1225" spans="1:7" x14ac:dyDescent="0.3">
      <c r="A1225" s="54">
        <v>45660</v>
      </c>
      <c r="B1225" s="45">
        <v>35883.72</v>
      </c>
      <c r="C1225" s="45">
        <v>35883.72</v>
      </c>
      <c r="D1225" s="45">
        <v>35883.72</v>
      </c>
      <c r="E1225" s="45">
        <v>35883.72</v>
      </c>
      <c r="F1225" s="18"/>
      <c r="G1225" s="22">
        <v>-4.8999999999999998E-3</v>
      </c>
    </row>
    <row r="1226" spans="1:7" x14ac:dyDescent="0.3">
      <c r="A1226" s="54">
        <v>45663</v>
      </c>
      <c r="B1226" s="45">
        <v>35120.870000000003</v>
      </c>
      <c r="C1226" s="45">
        <v>35120.870000000003</v>
      </c>
      <c r="D1226" s="45">
        <v>35120.870000000003</v>
      </c>
      <c r="E1226" s="45">
        <v>35120.870000000003</v>
      </c>
      <c r="F1226" s="18"/>
      <c r="G1226" s="22">
        <v>-2.1299999999999999E-2</v>
      </c>
    </row>
    <row r="1227" spans="1:7" x14ac:dyDescent="0.3">
      <c r="A1227" s="54">
        <v>45664</v>
      </c>
      <c r="B1227" s="45">
        <v>35304.550000000003</v>
      </c>
      <c r="C1227" s="45">
        <v>35304.550000000003</v>
      </c>
      <c r="D1227" s="45">
        <v>35304.550000000003</v>
      </c>
      <c r="E1227" s="45">
        <v>35304.550000000003</v>
      </c>
      <c r="F1227" s="18"/>
      <c r="G1227" s="22">
        <v>5.1999999999999998E-3</v>
      </c>
    </row>
    <row r="1228" spans="1:7" x14ac:dyDescent="0.3">
      <c r="A1228" s="54">
        <v>45665</v>
      </c>
      <c r="B1228" s="45">
        <v>35131.01</v>
      </c>
      <c r="C1228" s="45">
        <v>35131.01</v>
      </c>
      <c r="D1228" s="45">
        <v>35131.01</v>
      </c>
      <c r="E1228" s="45">
        <v>35131.01</v>
      </c>
      <c r="F1228" s="18"/>
      <c r="G1228" s="22">
        <v>-4.8999999999999998E-3</v>
      </c>
    </row>
    <row r="1229" spans="1:7" x14ac:dyDescent="0.3">
      <c r="A1229" s="54">
        <v>45666</v>
      </c>
      <c r="B1229" s="45">
        <v>34838.29</v>
      </c>
      <c r="C1229" s="45">
        <v>34838.29</v>
      </c>
      <c r="D1229" s="45">
        <v>34838.29</v>
      </c>
      <c r="E1229" s="45">
        <v>34838.29</v>
      </c>
      <c r="F1229" s="18"/>
      <c r="G1229" s="22">
        <v>-8.3000000000000001E-3</v>
      </c>
    </row>
    <row r="1230" spans="1:7" x14ac:dyDescent="0.3">
      <c r="A1230" s="54">
        <v>45667</v>
      </c>
      <c r="B1230" s="45">
        <v>34447.06</v>
      </c>
      <c r="C1230" s="45">
        <v>34447.06</v>
      </c>
      <c r="D1230" s="45">
        <v>34447.06</v>
      </c>
      <c r="E1230" s="45">
        <v>34447.06</v>
      </c>
      <c r="F1230" s="18"/>
      <c r="G1230" s="22">
        <v>-1.12E-2</v>
      </c>
    </row>
    <row r="1231" spans="1:7" x14ac:dyDescent="0.3">
      <c r="A1231" s="54">
        <v>45670</v>
      </c>
      <c r="B1231" s="45">
        <v>33569.22</v>
      </c>
      <c r="C1231" s="45">
        <v>33569.22</v>
      </c>
      <c r="D1231" s="45">
        <v>33569.22</v>
      </c>
      <c r="E1231" s="45">
        <v>33569.22</v>
      </c>
      <c r="F1231" s="18"/>
      <c r="G1231" s="22">
        <v>-2.5499999999999998E-2</v>
      </c>
    </row>
    <row r="1232" spans="1:7" x14ac:dyDescent="0.3">
      <c r="A1232" s="54">
        <v>45671</v>
      </c>
      <c r="B1232" s="45">
        <v>33944.68</v>
      </c>
      <c r="C1232" s="45">
        <v>33944.68</v>
      </c>
      <c r="D1232" s="45">
        <v>33944.68</v>
      </c>
      <c r="E1232" s="45">
        <v>33944.68</v>
      </c>
      <c r="F1232" s="18"/>
      <c r="G1232" s="22">
        <v>1.12E-2</v>
      </c>
    </row>
    <row r="1233" spans="1:7" x14ac:dyDescent="0.3">
      <c r="A1233" s="54">
        <v>45672</v>
      </c>
      <c r="B1233" s="45">
        <v>34055.47</v>
      </c>
      <c r="C1233" s="45">
        <v>34055.47</v>
      </c>
      <c r="D1233" s="45">
        <v>34055.47</v>
      </c>
      <c r="E1233" s="45">
        <v>34055.47</v>
      </c>
      <c r="F1233" s="18"/>
      <c r="G1233" s="22">
        <v>3.3E-3</v>
      </c>
    </row>
    <row r="1234" spans="1:7" x14ac:dyDescent="0.3">
      <c r="A1234" s="54">
        <v>45673</v>
      </c>
      <c r="B1234" s="45">
        <v>34313.800000000003</v>
      </c>
      <c r="C1234" s="45">
        <v>34313.800000000003</v>
      </c>
      <c r="D1234" s="45">
        <v>34313.800000000003</v>
      </c>
      <c r="E1234" s="45">
        <v>34313.800000000003</v>
      </c>
      <c r="F1234" s="18"/>
      <c r="G1234" s="22">
        <v>7.6E-3</v>
      </c>
    </row>
    <row r="1235" spans="1:7" x14ac:dyDescent="0.3">
      <c r="A1235" s="54">
        <v>45674</v>
      </c>
      <c r="B1235" s="45">
        <v>34278.129999999997</v>
      </c>
      <c r="C1235" s="45">
        <v>34278.129999999997</v>
      </c>
      <c r="D1235" s="45">
        <v>34278.129999999997</v>
      </c>
      <c r="E1235" s="45">
        <v>34278.129999999997</v>
      </c>
      <c r="F1235" s="18"/>
      <c r="G1235" s="22">
        <v>-1E-3</v>
      </c>
    </row>
    <row r="1236" spans="1:7" x14ac:dyDescent="0.3">
      <c r="A1236" s="54">
        <v>45677</v>
      </c>
      <c r="B1236" s="45">
        <v>34481.71</v>
      </c>
      <c r="C1236" s="45">
        <v>34481.71</v>
      </c>
      <c r="D1236" s="45">
        <v>34481.71</v>
      </c>
      <c r="E1236" s="45">
        <v>34481.71</v>
      </c>
      <c r="F1236" s="18"/>
      <c r="G1236" s="22">
        <v>5.8999999999999999E-3</v>
      </c>
    </row>
    <row r="1237" spans="1:7" x14ac:dyDescent="0.3">
      <c r="A1237" s="54">
        <v>45678</v>
      </c>
      <c r="B1237" s="45">
        <v>33887.69</v>
      </c>
      <c r="C1237" s="45">
        <v>33887.69</v>
      </c>
      <c r="D1237" s="45">
        <v>33887.69</v>
      </c>
      <c r="E1237" s="45">
        <v>33887.69</v>
      </c>
      <c r="F1237" s="18"/>
      <c r="G1237" s="22">
        <v>-1.72E-2</v>
      </c>
    </row>
    <row r="1238" spans="1:7" x14ac:dyDescent="0.3">
      <c r="A1238" s="54">
        <v>45679</v>
      </c>
      <c r="B1238" s="45">
        <v>33829.919999999998</v>
      </c>
      <c r="C1238" s="45">
        <v>33829.919999999998</v>
      </c>
      <c r="D1238" s="45">
        <v>33829.919999999998</v>
      </c>
      <c r="E1238" s="45">
        <v>33829.919999999998</v>
      </c>
      <c r="F1238" s="18"/>
      <c r="G1238" s="22">
        <v>-1.6999999999999999E-3</v>
      </c>
    </row>
    <row r="1239" spans="1:7" x14ac:dyDescent="0.3">
      <c r="A1239" s="54">
        <v>45680</v>
      </c>
      <c r="B1239" s="45">
        <v>34053.660000000003</v>
      </c>
      <c r="C1239" s="45">
        <v>34053.660000000003</v>
      </c>
      <c r="D1239" s="45">
        <v>34053.660000000003</v>
      </c>
      <c r="E1239" s="45">
        <v>34053.660000000003</v>
      </c>
      <c r="F1239" s="18"/>
      <c r="G1239" s="22">
        <v>6.6E-3</v>
      </c>
    </row>
    <row r="1240" spans="1:7" x14ac:dyDescent="0.3">
      <c r="A1240" s="54">
        <v>45681</v>
      </c>
      <c r="B1240" s="45">
        <v>33707.25</v>
      </c>
      <c r="C1240" s="45">
        <v>33707.25</v>
      </c>
      <c r="D1240" s="45">
        <v>33707.25</v>
      </c>
      <c r="E1240" s="45">
        <v>33707.25</v>
      </c>
      <c r="F1240" s="18"/>
      <c r="G1240" s="22">
        <v>-1.0200000000000001E-2</v>
      </c>
    </row>
    <row r="1241" spans="1:7" x14ac:dyDescent="0.3">
      <c r="A1241" s="54">
        <v>45684</v>
      </c>
      <c r="B1241" s="45">
        <v>33062.339999999997</v>
      </c>
      <c r="C1241" s="45">
        <v>33062.339999999997</v>
      </c>
      <c r="D1241" s="45">
        <v>33062.339999999997</v>
      </c>
      <c r="E1241" s="45">
        <v>33062.339999999997</v>
      </c>
      <c r="F1241" s="18"/>
      <c r="G1241" s="22">
        <v>-1.9099999999999999E-2</v>
      </c>
    </row>
    <row r="1242" spans="1:7" x14ac:dyDescent="0.3">
      <c r="A1242" s="54">
        <v>45685</v>
      </c>
      <c r="B1242" s="45">
        <v>33084.22</v>
      </c>
      <c r="C1242" s="45">
        <v>33084.22</v>
      </c>
      <c r="D1242" s="45">
        <v>33084.22</v>
      </c>
      <c r="E1242" s="45">
        <v>33084.22</v>
      </c>
      <c r="F1242" s="18"/>
      <c r="G1242" s="22">
        <v>6.9999999999999999E-4</v>
      </c>
    </row>
    <row r="1243" spans="1:7" x14ac:dyDescent="0.3">
      <c r="A1243" s="54">
        <v>45686</v>
      </c>
      <c r="B1243" s="45">
        <v>33593.199999999997</v>
      </c>
      <c r="C1243" s="45">
        <v>33593.199999999997</v>
      </c>
      <c r="D1243" s="45">
        <v>33593.199999999997</v>
      </c>
      <c r="E1243" s="45">
        <v>33593.199999999997</v>
      </c>
      <c r="F1243" s="18"/>
      <c r="G1243" s="22">
        <v>1.54E-2</v>
      </c>
    </row>
    <row r="1244" spans="1:7" x14ac:dyDescent="0.3">
      <c r="A1244" s="54">
        <v>45687</v>
      </c>
      <c r="B1244" s="45">
        <v>33676.11</v>
      </c>
      <c r="C1244" s="45">
        <v>33676.11</v>
      </c>
      <c r="D1244" s="45">
        <v>33676.11</v>
      </c>
      <c r="E1244" s="45">
        <v>33676.11</v>
      </c>
      <c r="F1244" s="18"/>
      <c r="G1244" s="22">
        <v>2.5000000000000001E-3</v>
      </c>
    </row>
    <row r="1245" spans="1:7" x14ac:dyDescent="0.3">
      <c r="A1245" s="54">
        <v>45688</v>
      </c>
      <c r="B1245" s="45">
        <v>34130.93</v>
      </c>
      <c r="C1245" s="45">
        <v>34130.93</v>
      </c>
      <c r="D1245" s="45">
        <v>34130.93</v>
      </c>
      <c r="E1245" s="45">
        <v>34130.93</v>
      </c>
      <c r="F1245" s="18"/>
      <c r="G1245" s="22">
        <v>1.35E-2</v>
      </c>
    </row>
    <row r="1246" spans="1:7" x14ac:dyDescent="0.3">
      <c r="A1246" s="54">
        <v>45689</v>
      </c>
      <c r="B1246" s="45">
        <v>34132.239999999998</v>
      </c>
      <c r="C1246" s="45">
        <v>34132.239999999998</v>
      </c>
      <c r="D1246" s="45">
        <v>34132.239999999998</v>
      </c>
      <c r="E1246" s="45">
        <v>34132.239999999998</v>
      </c>
      <c r="F1246" s="18"/>
      <c r="G1246" s="22">
        <v>0</v>
      </c>
    </row>
    <row r="1247" spans="1:7" x14ac:dyDescent="0.3">
      <c r="A1247" s="54">
        <v>45691</v>
      </c>
      <c r="B1247" s="45">
        <v>33849.51</v>
      </c>
      <c r="C1247" s="45">
        <v>33849.51</v>
      </c>
      <c r="D1247" s="45">
        <v>33849.51</v>
      </c>
      <c r="E1247" s="45">
        <v>33849.51</v>
      </c>
      <c r="F1247" s="18"/>
      <c r="G1247" s="22">
        <v>-8.3000000000000001E-3</v>
      </c>
    </row>
    <row r="1248" spans="1:7" x14ac:dyDescent="0.3">
      <c r="A1248" s="54">
        <v>45692</v>
      </c>
      <c r="B1248" s="45">
        <v>34363.72</v>
      </c>
      <c r="C1248" s="45">
        <v>34363.72</v>
      </c>
      <c r="D1248" s="45">
        <v>34363.72</v>
      </c>
      <c r="E1248" s="45">
        <v>34363.72</v>
      </c>
      <c r="F1248" s="18"/>
      <c r="G1248" s="22">
        <v>1.52E-2</v>
      </c>
    </row>
    <row r="1249" spans="1:7" x14ac:dyDescent="0.3">
      <c r="A1249" s="54">
        <v>45693</v>
      </c>
      <c r="B1249" s="45">
        <v>34453.97</v>
      </c>
      <c r="C1249" s="45">
        <v>34453.97</v>
      </c>
      <c r="D1249" s="45">
        <v>34453.97</v>
      </c>
      <c r="E1249" s="45">
        <v>34453.97</v>
      </c>
      <c r="F1249" s="18"/>
      <c r="G1249" s="22">
        <v>2.5999999999999999E-3</v>
      </c>
    </row>
    <row r="1250" spans="1:7" x14ac:dyDescent="0.3">
      <c r="A1250" s="54">
        <v>45694</v>
      </c>
      <c r="B1250" s="45">
        <v>34279.629999999997</v>
      </c>
      <c r="C1250" s="45">
        <v>34279.629999999997</v>
      </c>
      <c r="D1250" s="45">
        <v>34279.629999999997</v>
      </c>
      <c r="E1250" s="45">
        <v>34279.629999999997</v>
      </c>
      <c r="F1250" s="18"/>
      <c r="G1250" s="22">
        <v>-5.1000000000000004E-3</v>
      </c>
    </row>
    <row r="1251" spans="1:7" x14ac:dyDescent="0.3">
      <c r="A1251" s="54">
        <v>45695</v>
      </c>
      <c r="B1251" s="45">
        <v>34246.839999999997</v>
      </c>
      <c r="C1251" s="45">
        <v>34246.839999999997</v>
      </c>
      <c r="D1251" s="45">
        <v>34246.839999999997</v>
      </c>
      <c r="E1251" s="45">
        <v>34246.839999999997</v>
      </c>
      <c r="F1251" s="18"/>
      <c r="G1251" s="22">
        <v>-1E-3</v>
      </c>
    </row>
    <row r="1252" spans="1:7" x14ac:dyDescent="0.3">
      <c r="A1252" s="54">
        <v>45698</v>
      </c>
      <c r="B1252" s="45">
        <v>33812.230000000003</v>
      </c>
      <c r="C1252" s="45">
        <v>33812.230000000003</v>
      </c>
      <c r="D1252" s="45">
        <v>33812.230000000003</v>
      </c>
      <c r="E1252" s="45">
        <v>33812.230000000003</v>
      </c>
      <c r="F1252" s="18"/>
      <c r="G1252" s="22">
        <v>-1.2699999999999999E-2</v>
      </c>
    </row>
    <row r="1253" spans="1:7" x14ac:dyDescent="0.3">
      <c r="A1253" s="54">
        <v>45699</v>
      </c>
      <c r="B1253" s="45">
        <v>33146.32</v>
      </c>
      <c r="C1253" s="45">
        <v>33146.32</v>
      </c>
      <c r="D1253" s="45">
        <v>33146.32</v>
      </c>
      <c r="E1253" s="45">
        <v>33146.32</v>
      </c>
      <c r="F1253" s="18"/>
      <c r="G1253" s="22">
        <v>-1.9699999999999999E-2</v>
      </c>
    </row>
    <row r="1254" spans="1:7" x14ac:dyDescent="0.3">
      <c r="A1254" s="54">
        <v>45700</v>
      </c>
      <c r="B1254" s="45">
        <v>33091.14</v>
      </c>
      <c r="C1254" s="45">
        <v>33091.14</v>
      </c>
      <c r="D1254" s="45">
        <v>33091.14</v>
      </c>
      <c r="E1254" s="45">
        <v>33091.14</v>
      </c>
      <c r="F1254" s="18"/>
      <c r="G1254" s="22">
        <v>-1.6999999999999999E-3</v>
      </c>
    </row>
    <row r="1255" spans="1:7" x14ac:dyDescent="0.3">
      <c r="A1255" s="54">
        <v>45701</v>
      </c>
      <c r="B1255" s="45">
        <v>33086.76</v>
      </c>
      <c r="C1255" s="45">
        <v>33086.76</v>
      </c>
      <c r="D1255" s="45">
        <v>33086.76</v>
      </c>
      <c r="E1255" s="45">
        <v>33086.76</v>
      </c>
      <c r="F1255" s="18"/>
      <c r="G1255" s="22">
        <v>-1E-4</v>
      </c>
    </row>
    <row r="1256" spans="1:7" x14ac:dyDescent="0.3">
      <c r="A1256" s="54">
        <v>45702</v>
      </c>
      <c r="B1256" s="45">
        <v>32659.9</v>
      </c>
      <c r="C1256" s="45">
        <v>32659.9</v>
      </c>
      <c r="D1256" s="45">
        <v>32659.9</v>
      </c>
      <c r="E1256" s="45">
        <v>32659.9</v>
      </c>
      <c r="F1256" s="18"/>
      <c r="G1256" s="22">
        <v>-1.29E-2</v>
      </c>
    </row>
    <row r="1257" spans="1:7" x14ac:dyDescent="0.3">
      <c r="A1257" s="54">
        <v>45705</v>
      </c>
      <c r="B1257" s="45">
        <v>32691.24</v>
      </c>
      <c r="C1257" s="45">
        <v>32691.24</v>
      </c>
      <c r="D1257" s="45">
        <v>32691.24</v>
      </c>
      <c r="E1257" s="45">
        <v>32691.24</v>
      </c>
      <c r="F1257" s="18"/>
      <c r="G1257" s="22">
        <v>1E-3</v>
      </c>
    </row>
    <row r="1258" spans="1:7" x14ac:dyDescent="0.3">
      <c r="A1258" s="54">
        <v>45706</v>
      </c>
      <c r="B1258" s="45">
        <v>32627.75</v>
      </c>
      <c r="C1258" s="45">
        <v>32627.75</v>
      </c>
      <c r="D1258" s="45">
        <v>32627.75</v>
      </c>
      <c r="E1258" s="45">
        <v>32627.75</v>
      </c>
      <c r="F1258" s="18"/>
      <c r="G1258" s="22">
        <v>-1.9E-3</v>
      </c>
    </row>
    <row r="1259" spans="1:7" x14ac:dyDescent="0.3">
      <c r="A1259" s="54">
        <v>45707</v>
      </c>
      <c r="B1259" s="45">
        <v>32817.74</v>
      </c>
      <c r="C1259" s="45">
        <v>32817.74</v>
      </c>
      <c r="D1259" s="45">
        <v>32817.74</v>
      </c>
      <c r="E1259" s="45">
        <v>32817.74</v>
      </c>
      <c r="F1259" s="18"/>
      <c r="G1259" s="22">
        <v>5.7999999999999996E-3</v>
      </c>
    </row>
    <row r="1260" spans="1:7" x14ac:dyDescent="0.3">
      <c r="A1260" s="54">
        <v>45708</v>
      </c>
      <c r="B1260" s="45">
        <v>32975.85</v>
      </c>
      <c r="C1260" s="45">
        <v>32975.85</v>
      </c>
      <c r="D1260" s="45">
        <v>32975.85</v>
      </c>
      <c r="E1260" s="45">
        <v>32975.85</v>
      </c>
      <c r="F1260" s="18"/>
      <c r="G1260" s="22">
        <v>4.7999999999999996E-3</v>
      </c>
    </row>
    <row r="1261" spans="1:7" x14ac:dyDescent="0.3">
      <c r="A1261" s="54">
        <v>45709</v>
      </c>
      <c r="B1261" s="45">
        <v>32753.5</v>
      </c>
      <c r="C1261" s="45">
        <v>32753.5</v>
      </c>
      <c r="D1261" s="45">
        <v>32753.5</v>
      </c>
      <c r="E1261" s="45">
        <v>32753.5</v>
      </c>
      <c r="F1261" s="18"/>
      <c r="G1261" s="22">
        <v>-6.7000000000000002E-3</v>
      </c>
    </row>
    <row r="1262" spans="1:7" x14ac:dyDescent="0.3">
      <c r="A1262" s="54">
        <v>45712</v>
      </c>
      <c r="B1262" s="45">
        <v>32402.38</v>
      </c>
      <c r="C1262" s="45">
        <v>32402.38</v>
      </c>
      <c r="D1262" s="45">
        <v>32402.38</v>
      </c>
      <c r="E1262" s="45">
        <v>32402.38</v>
      </c>
      <c r="F1262" s="18"/>
      <c r="G1262" s="22">
        <v>-1.0699999999999999E-2</v>
      </c>
    </row>
    <row r="1263" spans="1:7" x14ac:dyDescent="0.3">
      <c r="A1263" s="54">
        <v>45713</v>
      </c>
      <c r="B1263" s="45">
        <v>32323.82</v>
      </c>
      <c r="C1263" s="45">
        <v>32323.82</v>
      </c>
      <c r="D1263" s="45">
        <v>32323.82</v>
      </c>
      <c r="E1263" s="45">
        <v>32323.82</v>
      </c>
      <c r="F1263" s="18"/>
      <c r="G1263" s="22">
        <v>-2.3999999999999998E-3</v>
      </c>
    </row>
    <row r="1264" spans="1:7" x14ac:dyDescent="0.3">
      <c r="A1264" s="54">
        <v>45715</v>
      </c>
      <c r="B1264" s="45">
        <v>32160.49</v>
      </c>
      <c r="C1264" s="45">
        <v>32160.49</v>
      </c>
      <c r="D1264" s="45">
        <v>32160.49</v>
      </c>
      <c r="E1264" s="45">
        <v>32160.49</v>
      </c>
      <c r="F1264" s="18"/>
      <c r="G1264" s="22">
        <v>-5.1000000000000004E-3</v>
      </c>
    </row>
    <row r="1265" spans="1:7" x14ac:dyDescent="0.3">
      <c r="A1265" s="54">
        <v>45716</v>
      </c>
      <c r="B1265" s="45">
        <v>31473.37</v>
      </c>
      <c r="C1265" s="45">
        <v>31473.37</v>
      </c>
      <c r="D1265" s="45">
        <v>31473.37</v>
      </c>
      <c r="E1265" s="45">
        <v>31473.37</v>
      </c>
      <c r="F1265" s="18"/>
      <c r="G1265" s="22">
        <v>-2.1399999999999999E-2</v>
      </c>
    </row>
    <row r="1266" spans="1:7" x14ac:dyDescent="0.3">
      <c r="A1266" s="54">
        <v>45719</v>
      </c>
      <c r="B1266" s="45">
        <v>31498.76</v>
      </c>
      <c r="C1266" s="45">
        <v>31498.76</v>
      </c>
      <c r="D1266" s="45">
        <v>31498.76</v>
      </c>
      <c r="E1266" s="45">
        <v>31498.76</v>
      </c>
      <c r="F1266" s="18"/>
      <c r="G1266" s="22">
        <v>8.0000000000000004E-4</v>
      </c>
    </row>
    <row r="1267" spans="1:7" x14ac:dyDescent="0.3">
      <c r="A1267" s="54">
        <v>45720</v>
      </c>
      <c r="B1267" s="45">
        <v>31531.88</v>
      </c>
      <c r="C1267" s="45">
        <v>31531.88</v>
      </c>
      <c r="D1267" s="45">
        <v>31531.88</v>
      </c>
      <c r="E1267" s="45">
        <v>31531.88</v>
      </c>
      <c r="F1267" s="18"/>
      <c r="G1267" s="22">
        <v>1.1000000000000001E-3</v>
      </c>
    </row>
    <row r="1268" spans="1:7" x14ac:dyDescent="0.3">
      <c r="A1268" s="54">
        <v>45721</v>
      </c>
      <c r="B1268" s="45">
        <v>32068</v>
      </c>
      <c r="C1268" s="45">
        <v>32068</v>
      </c>
      <c r="D1268" s="45">
        <v>32068</v>
      </c>
      <c r="E1268" s="45">
        <v>32068</v>
      </c>
      <c r="F1268" s="18"/>
      <c r="G1268" s="22">
        <v>1.7000000000000001E-2</v>
      </c>
    </row>
    <row r="1269" spans="1:7" x14ac:dyDescent="0.3">
      <c r="A1269" s="54">
        <v>45722</v>
      </c>
      <c r="B1269" s="45">
        <v>32369.7</v>
      </c>
      <c r="C1269" s="45">
        <v>32369.7</v>
      </c>
      <c r="D1269" s="45">
        <v>32369.7</v>
      </c>
      <c r="E1269" s="45">
        <v>32369.7</v>
      </c>
      <c r="F1269" s="18"/>
      <c r="G1269" s="22">
        <v>9.4000000000000004E-3</v>
      </c>
    </row>
    <row r="1270" spans="1:7" x14ac:dyDescent="0.3">
      <c r="A1270" s="54">
        <v>45723</v>
      </c>
      <c r="B1270" s="45">
        <v>32364.23</v>
      </c>
      <c r="C1270" s="45">
        <v>32364.23</v>
      </c>
      <c r="D1270" s="45">
        <v>32364.23</v>
      </c>
      <c r="E1270" s="45">
        <v>32364.23</v>
      </c>
      <c r="F1270" s="18"/>
      <c r="G1270" s="22">
        <v>-2.0000000000000001E-4</v>
      </c>
    </row>
    <row r="1271" spans="1:7" x14ac:dyDescent="0.3">
      <c r="A1271" s="54">
        <v>45727</v>
      </c>
      <c r="B1271" s="45">
        <v>32142.17</v>
      </c>
      <c r="C1271" s="45">
        <v>32142.17</v>
      </c>
      <c r="D1271" s="45">
        <v>32142.17</v>
      </c>
      <c r="E1271" s="45">
        <v>32142.17</v>
      </c>
      <c r="F1271" s="18"/>
      <c r="G1271" s="22">
        <v>-6.8999999999999999E-3</v>
      </c>
    </row>
    <row r="1272" spans="1:7" x14ac:dyDescent="0.3">
      <c r="A1272" s="54">
        <v>45728</v>
      </c>
      <c r="B1272" s="45">
        <v>32081.82</v>
      </c>
      <c r="C1272" s="45">
        <v>32081.82</v>
      </c>
      <c r="D1272" s="45">
        <v>32081.82</v>
      </c>
      <c r="E1272" s="45">
        <v>32081.82</v>
      </c>
      <c r="F1272" s="18"/>
      <c r="G1272" s="22">
        <v>-1.9E-3</v>
      </c>
    </row>
    <row r="1273" spans="1:7" x14ac:dyDescent="0.3">
      <c r="A1273" s="54">
        <v>45729</v>
      </c>
      <c r="B1273" s="45">
        <v>31942.25</v>
      </c>
      <c r="C1273" s="45">
        <v>31942.25</v>
      </c>
      <c r="D1273" s="45">
        <v>31942.25</v>
      </c>
      <c r="E1273" s="45">
        <v>31942.25</v>
      </c>
      <c r="F1273" s="18"/>
      <c r="G1273" s="22">
        <v>-4.4000000000000003E-3</v>
      </c>
    </row>
    <row r="1274" spans="1:7" x14ac:dyDescent="0.3">
      <c r="A1274" s="54">
        <v>45733</v>
      </c>
      <c r="B1274" s="45">
        <v>32119.96</v>
      </c>
      <c r="C1274" s="45">
        <v>32119.96</v>
      </c>
      <c r="D1274" s="45">
        <v>32119.96</v>
      </c>
      <c r="E1274" s="45">
        <v>32119.96</v>
      </c>
      <c r="F1274" s="18"/>
      <c r="G1274" s="22">
        <v>5.5999999999999999E-3</v>
      </c>
    </row>
    <row r="1275" spans="1:7" x14ac:dyDescent="0.3">
      <c r="A1275" s="54">
        <v>45734</v>
      </c>
      <c r="B1275" s="45">
        <v>32703.97</v>
      </c>
      <c r="C1275" s="45">
        <v>32703.97</v>
      </c>
      <c r="D1275" s="45">
        <v>32703.97</v>
      </c>
      <c r="E1275" s="45">
        <v>32703.97</v>
      </c>
      <c r="F1275" s="18"/>
      <c r="G1275" s="22">
        <v>1.8200000000000001E-2</v>
      </c>
    </row>
    <row r="1276" spans="1:7" x14ac:dyDescent="0.3">
      <c r="A1276" s="54">
        <v>45735</v>
      </c>
      <c r="B1276" s="45">
        <v>33033.14</v>
      </c>
      <c r="C1276" s="45">
        <v>33033.14</v>
      </c>
      <c r="D1276" s="45">
        <v>33033.14</v>
      </c>
      <c r="E1276" s="45">
        <v>33033.14</v>
      </c>
      <c r="F1276" s="18"/>
      <c r="G1276" s="22">
        <v>1.01E-2</v>
      </c>
    </row>
    <row r="1277" spans="1:7" x14ac:dyDescent="0.3">
      <c r="A1277" s="54">
        <v>45736</v>
      </c>
      <c r="B1277" s="45">
        <v>33358.699999999997</v>
      </c>
      <c r="C1277" s="45">
        <v>33358.699999999997</v>
      </c>
      <c r="D1277" s="45">
        <v>33358.699999999997</v>
      </c>
      <c r="E1277" s="45">
        <v>33358.699999999997</v>
      </c>
      <c r="F1277" s="18"/>
      <c r="G1277" s="22">
        <v>9.9000000000000008E-3</v>
      </c>
    </row>
    <row r="1278" spans="1:7" x14ac:dyDescent="0.3">
      <c r="A1278" s="54">
        <v>45737</v>
      </c>
      <c r="B1278" s="45">
        <v>33681.839999999997</v>
      </c>
      <c r="C1278" s="45">
        <v>33681.839999999997</v>
      </c>
      <c r="D1278" s="45">
        <v>33681.839999999997</v>
      </c>
      <c r="E1278" s="45">
        <v>33681.839999999997</v>
      </c>
      <c r="F1278" s="18"/>
      <c r="G1278" s="22">
        <v>9.7000000000000003E-3</v>
      </c>
    </row>
    <row r="1279" spans="1:7" x14ac:dyDescent="0.3">
      <c r="A1279" s="54">
        <v>45740</v>
      </c>
      <c r="B1279" s="45">
        <v>34100.120000000003</v>
      </c>
      <c r="C1279" s="45">
        <v>34100.120000000003</v>
      </c>
      <c r="D1279" s="45">
        <v>34100.120000000003</v>
      </c>
      <c r="E1279" s="45">
        <v>34100.120000000003</v>
      </c>
      <c r="F1279" s="18"/>
      <c r="G1279" s="22">
        <v>1.24E-2</v>
      </c>
    </row>
    <row r="1280" spans="1:7" x14ac:dyDescent="0.3">
      <c r="A1280" s="54">
        <v>45741</v>
      </c>
      <c r="B1280" s="45">
        <v>33941.26</v>
      </c>
      <c r="C1280" s="45">
        <v>33941.26</v>
      </c>
      <c r="D1280" s="45">
        <v>33941.26</v>
      </c>
      <c r="E1280" s="45">
        <v>33941.26</v>
      </c>
      <c r="F1280" s="18"/>
      <c r="G1280" s="22">
        <v>-4.7000000000000002E-3</v>
      </c>
    </row>
    <row r="1281" spans="1:7" x14ac:dyDescent="0.3">
      <c r="A1281" s="54">
        <v>45742</v>
      </c>
      <c r="B1281" s="45">
        <v>33685.64</v>
      </c>
      <c r="C1281" s="45">
        <v>33685.64</v>
      </c>
      <c r="D1281" s="45">
        <v>33685.64</v>
      </c>
      <c r="E1281" s="45">
        <v>33685.64</v>
      </c>
      <c r="F1281" s="18"/>
      <c r="G1281" s="22">
        <v>-7.4999999999999997E-3</v>
      </c>
    </row>
    <row r="1282" spans="1:7" x14ac:dyDescent="0.3">
      <c r="A1282" s="54">
        <v>45743</v>
      </c>
      <c r="B1282" s="45">
        <v>33895.46</v>
      </c>
      <c r="C1282" s="45">
        <v>33895.46</v>
      </c>
      <c r="D1282" s="45">
        <v>33895.46</v>
      </c>
      <c r="E1282" s="45">
        <v>33895.46</v>
      </c>
      <c r="F1282" s="18"/>
      <c r="G1282" s="22">
        <v>6.1999999999999998E-3</v>
      </c>
    </row>
    <row r="1283" spans="1:7" x14ac:dyDescent="0.3">
      <c r="A1283" s="54">
        <v>45744</v>
      </c>
      <c r="B1283" s="45">
        <v>33787.56</v>
      </c>
      <c r="C1283" s="45">
        <v>33787.56</v>
      </c>
      <c r="D1283" s="45">
        <v>33787.56</v>
      </c>
      <c r="E1283" s="45">
        <v>33787.56</v>
      </c>
      <c r="F1283" s="18"/>
      <c r="G1283" s="22">
        <v>-3.2000000000000002E-3</v>
      </c>
    </row>
    <row r="1284" spans="1:7" x14ac:dyDescent="0.3">
      <c r="A1284" s="54">
        <v>45748</v>
      </c>
      <c r="B1284" s="45">
        <v>33361.96</v>
      </c>
      <c r="C1284" s="45">
        <v>33361.96</v>
      </c>
      <c r="D1284" s="45">
        <v>33361.96</v>
      </c>
      <c r="E1284" s="45">
        <v>33361.96</v>
      </c>
      <c r="F1284" s="18"/>
      <c r="G1284" s="22">
        <v>-1.26E-2</v>
      </c>
    </row>
    <row r="1285" spans="1:7" x14ac:dyDescent="0.3">
      <c r="A1285" s="54">
        <v>45749</v>
      </c>
      <c r="B1285" s="45">
        <v>33670.61</v>
      </c>
      <c r="C1285" s="45">
        <v>33670.61</v>
      </c>
      <c r="D1285" s="45">
        <v>33670.61</v>
      </c>
      <c r="E1285" s="45">
        <v>33670.61</v>
      </c>
      <c r="F1285" s="18"/>
      <c r="G1285" s="22">
        <v>9.2999999999999992E-3</v>
      </c>
    </row>
    <row r="1286" spans="1:7" x14ac:dyDescent="0.3">
      <c r="A1286" s="54">
        <v>45750</v>
      </c>
      <c r="B1286" s="45">
        <v>33635.56</v>
      </c>
      <c r="C1286" s="45">
        <v>33635.56</v>
      </c>
      <c r="D1286" s="45">
        <v>33635.56</v>
      </c>
      <c r="E1286" s="45">
        <v>33635.56</v>
      </c>
      <c r="F1286" s="18"/>
      <c r="G1286" s="22">
        <v>-1E-3</v>
      </c>
    </row>
    <row r="1287" spans="1:7" x14ac:dyDescent="0.3">
      <c r="A1287" s="54">
        <v>45751</v>
      </c>
      <c r="B1287" s="45">
        <v>32942.089999999997</v>
      </c>
      <c r="C1287" s="45">
        <v>32942.089999999997</v>
      </c>
      <c r="D1287" s="45">
        <v>32942.089999999997</v>
      </c>
      <c r="E1287" s="45">
        <v>32942.089999999997</v>
      </c>
      <c r="F1287" s="18"/>
      <c r="G1287" s="22">
        <v>-2.06E-2</v>
      </c>
    </row>
    <row r="1288" spans="1:7" x14ac:dyDescent="0.3">
      <c r="A1288" s="54">
        <v>45754</v>
      </c>
      <c r="B1288" s="45">
        <v>31834.33</v>
      </c>
      <c r="C1288" s="45">
        <v>31834.33</v>
      </c>
      <c r="D1288" s="45">
        <v>31834.33</v>
      </c>
      <c r="E1288" s="45">
        <v>31834.33</v>
      </c>
      <c r="F1288" s="18"/>
      <c r="G1288" s="22">
        <v>-3.3599999999999998E-2</v>
      </c>
    </row>
    <row r="1289" spans="1:7" x14ac:dyDescent="0.3">
      <c r="A1289" s="54">
        <v>45755</v>
      </c>
      <c r="B1289" s="45">
        <v>32428.26</v>
      </c>
      <c r="C1289" s="45">
        <v>32428.26</v>
      </c>
      <c r="D1289" s="45">
        <v>32428.26</v>
      </c>
      <c r="E1289" s="45">
        <v>32428.26</v>
      </c>
      <c r="F1289" s="18"/>
      <c r="G1289" s="22">
        <v>1.8700000000000001E-2</v>
      </c>
    </row>
    <row r="1290" spans="1:7" x14ac:dyDescent="0.3">
      <c r="A1290" s="54">
        <v>45756</v>
      </c>
      <c r="B1290" s="45">
        <v>32231.86</v>
      </c>
      <c r="C1290" s="45">
        <v>32231.86</v>
      </c>
      <c r="D1290" s="45">
        <v>32231.86</v>
      </c>
      <c r="E1290" s="45">
        <v>32231.86</v>
      </c>
      <c r="F1290" s="18"/>
      <c r="G1290" s="22">
        <v>-6.1000000000000004E-3</v>
      </c>
    </row>
    <row r="1291" spans="1:7" x14ac:dyDescent="0.3">
      <c r="A1291" s="54">
        <v>45758</v>
      </c>
      <c r="B1291" s="45">
        <v>32859.129999999997</v>
      </c>
      <c r="C1291" s="45">
        <v>32859.129999999997</v>
      </c>
      <c r="D1291" s="45">
        <v>32859.129999999997</v>
      </c>
      <c r="E1291" s="45">
        <v>32859.129999999997</v>
      </c>
      <c r="F1291" s="18"/>
      <c r="G1291" s="22">
        <v>1.95E-2</v>
      </c>
    </row>
    <row r="1292" spans="1:7" x14ac:dyDescent="0.3">
      <c r="A1292" s="54">
        <v>45762</v>
      </c>
      <c r="B1292" s="45">
        <v>33692.800000000003</v>
      </c>
      <c r="C1292" s="45">
        <v>33692.800000000003</v>
      </c>
      <c r="D1292" s="45">
        <v>33692.800000000003</v>
      </c>
      <c r="E1292" s="45">
        <v>33692.800000000003</v>
      </c>
      <c r="F1292" s="18"/>
      <c r="G1292" s="22">
        <v>2.5399999999999999E-2</v>
      </c>
    </row>
    <row r="1293" spans="1:7" x14ac:dyDescent="0.3">
      <c r="A1293" s="54">
        <v>45763</v>
      </c>
      <c r="B1293" s="45">
        <v>33890.74</v>
      </c>
      <c r="C1293" s="45">
        <v>33890.74</v>
      </c>
      <c r="D1293" s="45">
        <v>33890.74</v>
      </c>
      <c r="E1293" s="45">
        <v>33890.74</v>
      </c>
      <c r="F1293" s="18"/>
      <c r="G1293" s="22">
        <v>5.8999999999999999E-3</v>
      </c>
    </row>
    <row r="1294" spans="1:7" x14ac:dyDescent="0.3">
      <c r="A1294" s="54">
        <v>45764</v>
      </c>
      <c r="B1294" s="45">
        <v>34329.58</v>
      </c>
      <c r="C1294" s="45">
        <v>34329.58</v>
      </c>
      <c r="D1294" s="45">
        <v>34329.58</v>
      </c>
      <c r="E1294" s="45">
        <v>34329.58</v>
      </c>
      <c r="F1294" s="18"/>
      <c r="G1294" s="22">
        <v>1.29E-2</v>
      </c>
    </row>
    <row r="1295" spans="1:7" x14ac:dyDescent="0.3">
      <c r="A1295" s="54">
        <v>45768</v>
      </c>
      <c r="B1295" s="45">
        <v>34842.910000000003</v>
      </c>
      <c r="C1295" s="45">
        <v>34842.910000000003</v>
      </c>
      <c r="D1295" s="45">
        <v>34842.910000000003</v>
      </c>
      <c r="E1295" s="45">
        <v>34842.910000000003</v>
      </c>
      <c r="F1295" s="18"/>
      <c r="G1295" s="22">
        <v>1.4999999999999999E-2</v>
      </c>
    </row>
    <row r="1296" spans="1:7" x14ac:dyDescent="0.3">
      <c r="A1296" s="54">
        <v>45769</v>
      </c>
      <c r="B1296" s="45">
        <v>34968.69</v>
      </c>
      <c r="C1296" s="45">
        <v>34968.69</v>
      </c>
      <c r="D1296" s="45">
        <v>34968.69</v>
      </c>
      <c r="E1296" s="45">
        <v>34968.69</v>
      </c>
      <c r="F1296" s="18"/>
      <c r="G1296" s="22">
        <v>3.5999999999999999E-3</v>
      </c>
    </row>
    <row r="1297" spans="1:7" x14ac:dyDescent="0.3">
      <c r="A1297" s="54">
        <v>45770</v>
      </c>
      <c r="B1297" s="45">
        <v>35210.269999999997</v>
      </c>
      <c r="C1297" s="45">
        <v>35210.269999999997</v>
      </c>
      <c r="D1297" s="45">
        <v>35210.269999999997</v>
      </c>
      <c r="E1297" s="45">
        <v>35210.269999999997</v>
      </c>
      <c r="F1297" s="18"/>
      <c r="G1297" s="22">
        <v>6.8999999999999999E-3</v>
      </c>
    </row>
    <row r="1298" spans="1:7" x14ac:dyDescent="0.3">
      <c r="A1298" s="54">
        <v>45771</v>
      </c>
      <c r="B1298" s="45">
        <v>35120.1</v>
      </c>
      <c r="C1298" s="45">
        <v>35120.1</v>
      </c>
      <c r="D1298" s="45">
        <v>35120.1</v>
      </c>
      <c r="E1298" s="45">
        <v>35120.1</v>
      </c>
      <c r="F1298" s="18"/>
      <c r="G1298" s="22">
        <v>-2.5999999999999999E-3</v>
      </c>
    </row>
    <row r="1299" spans="1:7" x14ac:dyDescent="0.3">
      <c r="A1299" s="54">
        <v>45772</v>
      </c>
      <c r="B1299" s="45">
        <v>34594.15</v>
      </c>
      <c r="C1299" s="45">
        <v>34594.15</v>
      </c>
      <c r="D1299" s="45">
        <v>34594.15</v>
      </c>
      <c r="E1299" s="45">
        <v>34594.15</v>
      </c>
      <c r="F1299" s="18"/>
      <c r="G1299" s="22">
        <v>-1.4999999999999999E-2</v>
      </c>
    </row>
    <row r="1300" spans="1:7" x14ac:dyDescent="0.3">
      <c r="A1300" s="54">
        <v>45775</v>
      </c>
      <c r="B1300" s="45">
        <v>34999.51</v>
      </c>
      <c r="C1300" s="45">
        <v>34999.51</v>
      </c>
      <c r="D1300" s="45">
        <v>34999.51</v>
      </c>
      <c r="E1300" s="45">
        <v>34999.51</v>
      </c>
      <c r="F1300" s="18"/>
      <c r="G1300" s="22">
        <v>1.17E-2</v>
      </c>
    </row>
    <row r="1301" spans="1:7" x14ac:dyDescent="0.3">
      <c r="A1301" s="54">
        <v>45776</v>
      </c>
      <c r="B1301" s="45">
        <v>35016.370000000003</v>
      </c>
      <c r="C1301" s="45">
        <v>35016.370000000003</v>
      </c>
      <c r="D1301" s="45">
        <v>35016.370000000003</v>
      </c>
      <c r="E1301" s="45">
        <v>35016.370000000003</v>
      </c>
      <c r="F1301" s="18"/>
      <c r="G1301" s="22">
        <v>5.0000000000000001E-4</v>
      </c>
    </row>
    <row r="1302" spans="1:7" x14ac:dyDescent="0.3">
      <c r="A1302" s="54">
        <v>45777</v>
      </c>
      <c r="B1302" s="45">
        <v>34886.080000000002</v>
      </c>
      <c r="C1302" s="45">
        <v>34886.080000000002</v>
      </c>
      <c r="D1302" s="45">
        <v>34886.080000000002</v>
      </c>
      <c r="E1302" s="45">
        <v>34886.080000000002</v>
      </c>
      <c r="F1302" s="18"/>
      <c r="G1302" s="22">
        <v>-3.7000000000000002E-3</v>
      </c>
    </row>
    <row r="1303" spans="1:7" x14ac:dyDescent="0.3">
      <c r="A1303" s="54">
        <v>45779</v>
      </c>
      <c r="B1303" s="45">
        <v>34848.28</v>
      </c>
      <c r="C1303" s="45">
        <v>34848.28</v>
      </c>
      <c r="D1303" s="45">
        <v>34848.28</v>
      </c>
      <c r="E1303" s="45">
        <v>34848.28</v>
      </c>
      <c r="F1303" s="18"/>
      <c r="G1303" s="22">
        <v>-1.1000000000000001E-3</v>
      </c>
    </row>
    <row r="1304" spans="1:7" x14ac:dyDescent="0.3">
      <c r="A1304" s="54">
        <v>45782</v>
      </c>
      <c r="B1304" s="45">
        <v>35147.86</v>
      </c>
      <c r="C1304" s="45">
        <v>35147.86</v>
      </c>
      <c r="D1304" s="45">
        <v>35147.86</v>
      </c>
      <c r="E1304" s="45">
        <v>35147.86</v>
      </c>
      <c r="F1304" s="18"/>
      <c r="G1304" s="22">
        <v>8.6E-3</v>
      </c>
    </row>
    <row r="1305" spans="1:7" x14ac:dyDescent="0.3">
      <c r="A1305" s="54">
        <v>45783</v>
      </c>
      <c r="B1305" s="45">
        <v>34770.1</v>
      </c>
      <c r="C1305" s="45">
        <v>34770.1</v>
      </c>
      <c r="D1305" s="45">
        <v>34770.1</v>
      </c>
      <c r="E1305" s="45">
        <v>34770.1</v>
      </c>
      <c r="F1305" s="18"/>
      <c r="G1305" s="22">
        <v>-1.0699999999999999E-2</v>
      </c>
    </row>
    <row r="1306" spans="1:7" x14ac:dyDescent="0.3">
      <c r="A1306" s="54">
        <v>45784</v>
      </c>
      <c r="B1306" s="45">
        <v>34953.839999999997</v>
      </c>
      <c r="C1306" s="45">
        <v>34953.839999999997</v>
      </c>
      <c r="D1306" s="45">
        <v>34953.839999999997</v>
      </c>
      <c r="E1306" s="45">
        <v>34953.839999999997</v>
      </c>
      <c r="F1306" s="18"/>
      <c r="G1306" s="22">
        <v>5.3E-3</v>
      </c>
    </row>
    <row r="1307" spans="1:7" x14ac:dyDescent="0.3">
      <c r="A1307" s="54">
        <v>45785</v>
      </c>
      <c r="B1307" s="45">
        <v>34590.6</v>
      </c>
      <c r="C1307" s="45">
        <v>34590.6</v>
      </c>
      <c r="D1307" s="45">
        <v>34590.6</v>
      </c>
      <c r="E1307" s="45">
        <v>34590.6</v>
      </c>
      <c r="F1307" s="18"/>
      <c r="G1307" s="22">
        <v>-1.04E-2</v>
      </c>
    </row>
    <row r="1308" spans="1:7" x14ac:dyDescent="0.3">
      <c r="A1308" s="54">
        <v>45786</v>
      </c>
      <c r="B1308" s="45">
        <v>34326.370000000003</v>
      </c>
      <c r="C1308" s="45">
        <v>34326.370000000003</v>
      </c>
      <c r="D1308" s="45">
        <v>34326.370000000003</v>
      </c>
      <c r="E1308" s="45">
        <v>34326.370000000003</v>
      </c>
      <c r="F1308" s="18"/>
      <c r="G1308" s="22">
        <v>-7.6E-3</v>
      </c>
    </row>
    <row r="1309" spans="1:7" x14ac:dyDescent="0.3">
      <c r="A1309" s="54">
        <v>45789</v>
      </c>
      <c r="B1309" s="45">
        <v>35650</v>
      </c>
      <c r="C1309" s="45">
        <v>35650</v>
      </c>
      <c r="D1309" s="45">
        <v>35650</v>
      </c>
      <c r="E1309" s="45">
        <v>35650</v>
      </c>
      <c r="F1309" s="18"/>
      <c r="G1309" s="22">
        <v>3.8600000000000002E-2</v>
      </c>
    </row>
    <row r="1310" spans="1:7" x14ac:dyDescent="0.3">
      <c r="A1310" s="54">
        <v>45790</v>
      </c>
      <c r="B1310" s="45">
        <v>35393.94</v>
      </c>
      <c r="C1310" s="45">
        <v>35393.94</v>
      </c>
      <c r="D1310" s="45">
        <v>35393.94</v>
      </c>
      <c r="E1310" s="45">
        <v>35393.94</v>
      </c>
      <c r="F1310" s="18"/>
      <c r="G1310" s="22">
        <v>-7.1999999999999998E-3</v>
      </c>
    </row>
    <row r="1311" spans="1:7" x14ac:dyDescent="0.3">
      <c r="A1311" s="54">
        <v>45791</v>
      </c>
      <c r="B1311" s="45">
        <v>35632.269999999997</v>
      </c>
      <c r="C1311" s="45">
        <v>35632.269999999997</v>
      </c>
      <c r="D1311" s="45">
        <v>35632.269999999997</v>
      </c>
      <c r="E1311" s="45">
        <v>35632.269999999997</v>
      </c>
      <c r="F1311" s="18"/>
      <c r="G1311" s="22">
        <v>6.7000000000000002E-3</v>
      </c>
    </row>
    <row r="1312" spans="1:7" x14ac:dyDescent="0.3">
      <c r="A1312" s="54">
        <v>45792</v>
      </c>
      <c r="B1312" s="45">
        <v>36090.629999999997</v>
      </c>
      <c r="C1312" s="45">
        <v>36090.629999999997</v>
      </c>
      <c r="D1312" s="45">
        <v>36090.629999999997</v>
      </c>
      <c r="E1312" s="45">
        <v>36090.629999999997</v>
      </c>
      <c r="F1312" s="18"/>
      <c r="G1312" s="22">
        <v>1.29E-2</v>
      </c>
    </row>
    <row r="1313" spans="1:7" x14ac:dyDescent="0.3">
      <c r="A1313" s="54">
        <v>45793</v>
      </c>
      <c r="B1313" s="45">
        <v>36232.61</v>
      </c>
      <c r="C1313" s="45">
        <v>36232.61</v>
      </c>
      <c r="D1313" s="45">
        <v>36232.61</v>
      </c>
      <c r="E1313" s="45">
        <v>36232.61</v>
      </c>
      <c r="F1313" s="18"/>
      <c r="G1313" s="22">
        <v>3.8999999999999998E-3</v>
      </c>
    </row>
    <row r="1314" spans="1:7" x14ac:dyDescent="0.3">
      <c r="A1314" s="54">
        <v>45796</v>
      </c>
      <c r="B1314" s="45">
        <v>36224.519999999997</v>
      </c>
      <c r="C1314" s="45">
        <v>36224.519999999997</v>
      </c>
      <c r="D1314" s="45">
        <v>36224.519999999997</v>
      </c>
      <c r="E1314" s="45">
        <v>36224.519999999997</v>
      </c>
      <c r="F1314" s="18"/>
      <c r="G1314" s="22">
        <v>-2.0000000000000001E-4</v>
      </c>
    </row>
    <row r="1315" spans="1:7" x14ac:dyDescent="0.3">
      <c r="A1315" s="54">
        <v>45797</v>
      </c>
      <c r="B1315" s="45">
        <v>35780.620000000003</v>
      </c>
      <c r="C1315" s="45">
        <v>35780.620000000003</v>
      </c>
      <c r="D1315" s="45">
        <v>35780.620000000003</v>
      </c>
      <c r="E1315" s="45">
        <v>35780.620000000003</v>
      </c>
      <c r="F1315" s="18"/>
      <c r="G1315" s="22">
        <v>-1.23E-2</v>
      </c>
    </row>
    <row r="1316" spans="1:7" x14ac:dyDescent="0.3">
      <c r="A1316" s="54">
        <v>45798</v>
      </c>
      <c r="B1316" s="45">
        <v>36010.699999999997</v>
      </c>
      <c r="C1316" s="45">
        <v>36010.699999999997</v>
      </c>
      <c r="D1316" s="45">
        <v>36010.699999999997</v>
      </c>
      <c r="E1316" s="45">
        <v>36010.699999999997</v>
      </c>
      <c r="F1316" s="18"/>
      <c r="G1316" s="22">
        <v>6.4000000000000003E-3</v>
      </c>
    </row>
    <row r="1317" spans="1:7" x14ac:dyDescent="0.3">
      <c r="A1317" s="54">
        <v>45799</v>
      </c>
      <c r="B1317" s="45">
        <v>35797.03</v>
      </c>
      <c r="C1317" s="45">
        <v>35797.03</v>
      </c>
      <c r="D1317" s="45">
        <v>35797.03</v>
      </c>
      <c r="E1317" s="45">
        <v>35797.03</v>
      </c>
      <c r="F1317" s="18"/>
      <c r="G1317" s="22">
        <v>-5.8999999999999999E-3</v>
      </c>
    </row>
    <row r="1318" spans="1:7" x14ac:dyDescent="0.3">
      <c r="A1318" s="54">
        <v>45800</v>
      </c>
      <c r="B1318" s="45">
        <v>36092.879999999997</v>
      </c>
      <c r="C1318" s="45">
        <v>36092.879999999997</v>
      </c>
      <c r="D1318" s="45">
        <v>36092.879999999997</v>
      </c>
      <c r="E1318" s="45">
        <v>36092.879999999997</v>
      </c>
      <c r="F1318" s="18"/>
      <c r="G1318" s="22">
        <v>8.3000000000000001E-3</v>
      </c>
    </row>
    <row r="1319" spans="1:7" x14ac:dyDescent="0.3">
      <c r="A1319" s="54">
        <v>45803</v>
      </c>
      <c r="B1319" s="45">
        <v>36294.53</v>
      </c>
      <c r="C1319" s="45">
        <v>36294.53</v>
      </c>
      <c r="D1319" s="45">
        <v>36294.53</v>
      </c>
      <c r="E1319" s="45">
        <v>36294.53</v>
      </c>
      <c r="F1319" s="18"/>
      <c r="G1319" s="22">
        <v>5.5999999999999999E-3</v>
      </c>
    </row>
    <row r="1320" spans="1:7" x14ac:dyDescent="0.3">
      <c r="A1320" s="54">
        <v>45804</v>
      </c>
      <c r="B1320" s="45">
        <v>36149.56</v>
      </c>
      <c r="C1320" s="45">
        <v>36149.56</v>
      </c>
      <c r="D1320" s="45">
        <v>36149.56</v>
      </c>
      <c r="E1320" s="45">
        <v>36149.56</v>
      </c>
      <c r="F1320" s="18"/>
      <c r="G1320" s="22">
        <v>-4.0000000000000001E-3</v>
      </c>
    </row>
    <row r="1321" spans="1:7" x14ac:dyDescent="0.3">
      <c r="A1321" s="54">
        <v>45805</v>
      </c>
      <c r="B1321" s="45">
        <v>36105.43</v>
      </c>
      <c r="C1321" s="45">
        <v>36105.43</v>
      </c>
      <c r="D1321" s="45">
        <v>36105.43</v>
      </c>
      <c r="E1321" s="45">
        <v>36105.43</v>
      </c>
      <c r="F1321" s="18"/>
      <c r="G1321" s="22">
        <v>-1.1999999999999999E-3</v>
      </c>
    </row>
    <row r="1322" spans="1:7" x14ac:dyDescent="0.3">
      <c r="A1322" s="54">
        <v>45806</v>
      </c>
      <c r="B1322" s="45">
        <v>36236.36</v>
      </c>
      <c r="C1322" s="45">
        <v>36236.36</v>
      </c>
      <c r="D1322" s="45">
        <v>36236.36</v>
      </c>
      <c r="E1322" s="45">
        <v>36236.36</v>
      </c>
      <c r="F1322" s="18"/>
      <c r="G1322" s="22">
        <v>3.5999999999999999E-3</v>
      </c>
    </row>
    <row r="1323" spans="1:7" x14ac:dyDescent="0.3">
      <c r="A1323" s="54">
        <v>45807</v>
      </c>
      <c r="B1323" s="45">
        <v>36160.26</v>
      </c>
      <c r="C1323" s="45">
        <v>36160.26</v>
      </c>
      <c r="D1323" s="45">
        <v>36160.26</v>
      </c>
      <c r="E1323" s="45">
        <v>36160.26</v>
      </c>
      <c r="F1323" s="18"/>
      <c r="G1323" s="22">
        <v>-2.0999999999999999E-3</v>
      </c>
    </row>
    <row r="1324" spans="1:7" x14ac:dyDescent="0.3">
      <c r="A1324" s="54">
        <v>45810</v>
      </c>
      <c r="B1324" s="45">
        <v>36211.9</v>
      </c>
      <c r="C1324" s="45">
        <v>36211.9</v>
      </c>
      <c r="D1324" s="45">
        <v>36211.9</v>
      </c>
      <c r="E1324" s="45">
        <v>36211.9</v>
      </c>
      <c r="F1324" s="18"/>
      <c r="G1324" s="22">
        <v>1.4E-3</v>
      </c>
    </row>
    <row r="1325" spans="1:7" x14ac:dyDescent="0.3">
      <c r="A1325" s="54">
        <v>45811</v>
      </c>
      <c r="B1325" s="45">
        <v>36024.39</v>
      </c>
      <c r="C1325" s="45">
        <v>36024.39</v>
      </c>
      <c r="D1325" s="45">
        <v>36024.39</v>
      </c>
      <c r="E1325" s="45">
        <v>36024.39</v>
      </c>
      <c r="F1325" s="18"/>
      <c r="G1325" s="22">
        <v>-5.1999999999999998E-3</v>
      </c>
    </row>
    <row r="1326" spans="1:7" x14ac:dyDescent="0.3">
      <c r="A1326" s="54">
        <v>45812</v>
      </c>
      <c r="B1326" s="45">
        <v>36185.79</v>
      </c>
      <c r="C1326" s="45">
        <v>36185.79</v>
      </c>
      <c r="D1326" s="45">
        <v>36185.79</v>
      </c>
      <c r="E1326" s="45">
        <v>36185.79</v>
      </c>
      <c r="F1326" s="18"/>
      <c r="G1326" s="22">
        <v>4.4999999999999997E-3</v>
      </c>
    </row>
    <row r="1327" spans="1:7" x14ac:dyDescent="0.3">
      <c r="A1327" s="54">
        <v>45813</v>
      </c>
      <c r="B1327" s="45">
        <v>36386.82</v>
      </c>
      <c r="C1327" s="45">
        <v>36386.82</v>
      </c>
      <c r="D1327" s="45">
        <v>36386.82</v>
      </c>
      <c r="E1327" s="45">
        <v>36386.82</v>
      </c>
      <c r="F1327" s="18"/>
      <c r="G1327" s="22">
        <v>5.5999999999999999E-3</v>
      </c>
    </row>
    <row r="1328" spans="1:7" x14ac:dyDescent="0.3">
      <c r="A1328" s="54">
        <v>45814</v>
      </c>
      <c r="B1328" s="45">
        <v>36753.75</v>
      </c>
      <c r="C1328" s="45">
        <v>36753.75</v>
      </c>
      <c r="D1328" s="45">
        <v>36753.75</v>
      </c>
      <c r="E1328" s="45">
        <v>36753.75</v>
      </c>
      <c r="F1328" s="18"/>
      <c r="G1328" s="22">
        <v>1.01E-2</v>
      </c>
    </row>
    <row r="1329" spans="1:7" x14ac:dyDescent="0.3">
      <c r="A1329" s="54">
        <v>45817</v>
      </c>
      <c r="B1329" s="45">
        <v>37016.25</v>
      </c>
      <c r="C1329" s="45">
        <v>37016.25</v>
      </c>
      <c r="D1329" s="45">
        <v>37016.25</v>
      </c>
      <c r="E1329" s="45">
        <v>37016.25</v>
      </c>
      <c r="F1329" s="18"/>
      <c r="G1329" s="22">
        <v>7.1000000000000004E-3</v>
      </c>
    </row>
    <row r="1330" spans="1:7" x14ac:dyDescent="0.3">
      <c r="A1330" s="54">
        <v>45818</v>
      </c>
      <c r="B1330" s="45">
        <v>37032.959999999999</v>
      </c>
      <c r="C1330" s="45">
        <v>37032.959999999999</v>
      </c>
      <c r="D1330" s="45">
        <v>37032.959999999999</v>
      </c>
      <c r="E1330" s="45">
        <v>37032.959999999999</v>
      </c>
      <c r="F1330" s="18"/>
      <c r="G1330" s="22">
        <v>5.0000000000000001E-4</v>
      </c>
    </row>
    <row r="1331" spans="1:7" x14ac:dyDescent="0.3">
      <c r="A1331" s="54">
        <v>45819</v>
      </c>
      <c r="B1331" s="45">
        <v>37030.15</v>
      </c>
      <c r="C1331" s="45">
        <v>37030.15</v>
      </c>
      <c r="D1331" s="45">
        <v>37030.15</v>
      </c>
      <c r="E1331" s="45">
        <v>37030.15</v>
      </c>
      <c r="F1331" s="18"/>
      <c r="G1331" s="22">
        <v>-1E-4</v>
      </c>
    </row>
    <row r="1332" spans="1:7" x14ac:dyDescent="0.3">
      <c r="A1332" s="54">
        <v>45820</v>
      </c>
      <c r="B1332" s="45">
        <v>36568.42</v>
      </c>
      <c r="C1332" s="45">
        <v>36568.42</v>
      </c>
      <c r="D1332" s="45">
        <v>36568.42</v>
      </c>
      <c r="E1332" s="45">
        <v>36568.42</v>
      </c>
      <c r="F1332" s="18"/>
      <c r="G1332" s="22">
        <v>-1.2500000000000001E-2</v>
      </c>
    </row>
    <row r="1333" spans="1:7" x14ac:dyDescent="0.3">
      <c r="A1333" s="54">
        <v>45821</v>
      </c>
      <c r="B1333" s="45">
        <v>36348.18</v>
      </c>
      <c r="C1333" s="45">
        <v>36348.18</v>
      </c>
      <c r="D1333" s="45">
        <v>36348.18</v>
      </c>
      <c r="E1333" s="45">
        <v>36348.18</v>
      </c>
      <c r="F1333" s="18"/>
      <c r="G1333" s="22">
        <v>-6.0000000000000001E-3</v>
      </c>
    </row>
    <row r="1334" spans="1:7" x14ac:dyDescent="0.3">
      <c r="A1334" s="54">
        <v>45824</v>
      </c>
      <c r="B1334" s="45">
        <v>36648.19</v>
      </c>
      <c r="C1334" s="45">
        <v>36648.19</v>
      </c>
      <c r="D1334" s="45">
        <v>36648.19</v>
      </c>
      <c r="E1334" s="45">
        <v>36648.19</v>
      </c>
      <c r="F1334" s="18"/>
      <c r="G1334" s="22">
        <v>8.3000000000000001E-3</v>
      </c>
    </row>
    <row r="1335" spans="1:7" x14ac:dyDescent="0.3">
      <c r="A1335" s="54">
        <v>45825</v>
      </c>
      <c r="B1335" s="45">
        <v>36468.69</v>
      </c>
      <c r="C1335" s="45">
        <v>36468.69</v>
      </c>
      <c r="D1335" s="45">
        <v>36468.69</v>
      </c>
      <c r="E1335" s="45">
        <v>36468.69</v>
      </c>
      <c r="F1335" s="18"/>
      <c r="G1335" s="22">
        <v>-4.8999999999999998E-3</v>
      </c>
    </row>
    <row r="1336" spans="1:7" x14ac:dyDescent="0.3">
      <c r="A1336" s="54">
        <v>45826</v>
      </c>
      <c r="B1336" s="45">
        <v>36379.4</v>
      </c>
      <c r="C1336" s="45">
        <v>36379.4</v>
      </c>
      <c r="D1336" s="45">
        <v>36379.4</v>
      </c>
      <c r="E1336" s="45">
        <v>36379.4</v>
      </c>
      <c r="F1336" s="18"/>
      <c r="G1336" s="22">
        <v>-2.3999999999999998E-3</v>
      </c>
    </row>
    <row r="1337" spans="1:7" x14ac:dyDescent="0.3">
      <c r="A1337" s="54">
        <v>45827</v>
      </c>
      <c r="B1337" s="45">
        <v>36123.39</v>
      </c>
      <c r="C1337" s="45">
        <v>36123.39</v>
      </c>
      <c r="D1337" s="45">
        <v>36123.39</v>
      </c>
      <c r="E1337" s="45">
        <v>36123.39</v>
      </c>
      <c r="F1337" s="18"/>
      <c r="G1337" s="22">
        <v>-7.0000000000000001E-3</v>
      </c>
    </row>
    <row r="1338" spans="1:7" x14ac:dyDescent="0.3">
      <c r="A1338" s="54">
        <v>45828</v>
      </c>
      <c r="B1338" s="45">
        <v>36565.82</v>
      </c>
      <c r="C1338" s="45">
        <v>36565.82</v>
      </c>
      <c r="D1338" s="45">
        <v>36565.82</v>
      </c>
      <c r="E1338" s="45">
        <v>36565.82</v>
      </c>
      <c r="F1338" s="18"/>
      <c r="G1338" s="22">
        <v>1.2200000000000001E-2</v>
      </c>
    </row>
    <row r="1339" spans="1:7" x14ac:dyDescent="0.3">
      <c r="A1339" s="54">
        <v>45831</v>
      </c>
      <c r="B1339" s="45">
        <v>36507.74</v>
      </c>
      <c r="C1339" s="45">
        <v>36507.74</v>
      </c>
      <c r="D1339" s="45">
        <v>36507.74</v>
      </c>
      <c r="E1339" s="45">
        <v>36507.74</v>
      </c>
      <c r="F1339" s="18"/>
      <c r="G1339" s="22">
        <v>-1.6000000000000001E-3</v>
      </c>
    </row>
    <row r="1340" spans="1:7" x14ac:dyDescent="0.3">
      <c r="A1340" s="54">
        <v>45832</v>
      </c>
      <c r="B1340" s="45">
        <v>36687.65</v>
      </c>
      <c r="C1340" s="45">
        <v>36687.65</v>
      </c>
      <c r="D1340" s="45">
        <v>36687.65</v>
      </c>
      <c r="E1340" s="45">
        <v>36687.65</v>
      </c>
      <c r="F1340" s="18"/>
      <c r="G1340" s="22">
        <v>4.8999999999999998E-3</v>
      </c>
    </row>
    <row r="1341" spans="1:7" x14ac:dyDescent="0.3">
      <c r="A1341" s="54">
        <v>45833</v>
      </c>
      <c r="B1341" s="45">
        <v>36979.230000000003</v>
      </c>
      <c r="C1341" s="45">
        <v>36979.230000000003</v>
      </c>
      <c r="D1341" s="45">
        <v>36979.230000000003</v>
      </c>
      <c r="E1341" s="45">
        <v>36979.230000000003</v>
      </c>
      <c r="F1341" s="18"/>
      <c r="G1341" s="22">
        <v>7.9000000000000008E-3</v>
      </c>
    </row>
    <row r="1342" spans="1:7" x14ac:dyDescent="0.3">
      <c r="A1342" s="54">
        <v>45834</v>
      </c>
      <c r="B1342" s="45">
        <v>37329.53</v>
      </c>
      <c r="C1342" s="45">
        <v>37329.53</v>
      </c>
      <c r="D1342" s="45">
        <v>37329.53</v>
      </c>
      <c r="E1342" s="45">
        <v>37329.53</v>
      </c>
      <c r="F1342" s="18"/>
      <c r="G1342" s="22">
        <v>9.4999999999999998E-3</v>
      </c>
    </row>
    <row r="1343" spans="1:7" x14ac:dyDescent="0.3">
      <c r="A1343" s="54">
        <v>45835</v>
      </c>
      <c r="B1343" s="45">
        <v>37526.730000000003</v>
      </c>
      <c r="C1343" s="45">
        <v>37526.730000000003</v>
      </c>
      <c r="D1343" s="45">
        <v>37526.730000000003</v>
      </c>
      <c r="E1343" s="45">
        <v>37526.730000000003</v>
      </c>
      <c r="F1343" s="18"/>
      <c r="G1343" s="22">
        <v>5.3E-3</v>
      </c>
    </row>
    <row r="1344" spans="1:7" x14ac:dyDescent="0.3">
      <c r="A1344" s="54">
        <v>45838</v>
      </c>
      <c r="B1344" s="45">
        <v>37522.379999999997</v>
      </c>
      <c r="C1344" s="45">
        <v>37522.379999999997</v>
      </c>
      <c r="D1344" s="45">
        <v>37522.379999999997</v>
      </c>
      <c r="E1344" s="45">
        <v>37522.379999999997</v>
      </c>
      <c r="F1344" s="18"/>
      <c r="G1344" s="22">
        <v>-1E-4</v>
      </c>
    </row>
    <row r="1345" spans="1:7" x14ac:dyDescent="0.3">
      <c r="A1345" s="54">
        <v>45839</v>
      </c>
      <c r="B1345" s="45">
        <v>37519.71</v>
      </c>
      <c r="C1345" s="45">
        <v>37519.71</v>
      </c>
      <c r="D1345" s="45">
        <v>37519.71</v>
      </c>
      <c r="E1345" s="45">
        <v>37519.71</v>
      </c>
      <c r="F1345" s="18"/>
      <c r="G1345" s="22">
        <v>-1E-4</v>
      </c>
    </row>
    <row r="1346" spans="1:7" x14ac:dyDescent="0.3">
      <c r="A1346" s="54">
        <v>45840</v>
      </c>
      <c r="B1346" s="45">
        <v>37411.42</v>
      </c>
      <c r="C1346" s="45">
        <v>37411.42</v>
      </c>
      <c r="D1346" s="45">
        <v>37411.42</v>
      </c>
      <c r="E1346" s="45">
        <v>37411.42</v>
      </c>
      <c r="F1346" s="18"/>
      <c r="G1346" s="22">
        <v>-2.8999999999999998E-3</v>
      </c>
    </row>
    <row r="1347" spans="1:7" x14ac:dyDescent="0.3">
      <c r="A1347" s="54">
        <v>45841</v>
      </c>
      <c r="B1347" s="45">
        <v>37371</v>
      </c>
      <c r="C1347" s="45">
        <v>37371</v>
      </c>
      <c r="D1347" s="45">
        <v>37371</v>
      </c>
      <c r="E1347" s="45">
        <v>37371</v>
      </c>
      <c r="F1347" s="18"/>
      <c r="G1347" s="22">
        <v>-1.1000000000000001E-3</v>
      </c>
    </row>
    <row r="1348" spans="1:7" x14ac:dyDescent="0.3">
      <c r="A1348" s="54">
        <v>45842</v>
      </c>
      <c r="B1348" s="45">
        <v>37443.199999999997</v>
      </c>
      <c r="C1348" s="45">
        <v>37443.199999999997</v>
      </c>
      <c r="D1348" s="45">
        <v>37443.199999999997</v>
      </c>
      <c r="E1348" s="45">
        <v>37443.199999999997</v>
      </c>
      <c r="F1348" s="18"/>
      <c r="G1348" s="22">
        <v>1.9E-3</v>
      </c>
    </row>
    <row r="1349" spans="1:7" x14ac:dyDescent="0.3">
      <c r="A1349" s="54">
        <v>45845</v>
      </c>
      <c r="B1349" s="45">
        <v>37426.49</v>
      </c>
      <c r="C1349" s="45">
        <v>37426.49</v>
      </c>
      <c r="D1349" s="45">
        <v>37426.49</v>
      </c>
      <c r="E1349" s="45">
        <v>37426.49</v>
      </c>
      <c r="F1349" s="18"/>
      <c r="G1349" s="22">
        <v>-4.0000000000000002E-4</v>
      </c>
    </row>
    <row r="1350" spans="1:7" x14ac:dyDescent="0.3">
      <c r="A1350" s="54">
        <v>45846</v>
      </c>
      <c r="B1350" s="45">
        <v>37461.97</v>
      </c>
      <c r="C1350" s="45">
        <v>37461.97</v>
      </c>
      <c r="D1350" s="45">
        <v>37461.97</v>
      </c>
      <c r="E1350" s="45">
        <v>37461.97</v>
      </c>
      <c r="F1350" s="18"/>
      <c r="G1350" s="22">
        <v>8.9999999999999998E-4</v>
      </c>
    </row>
    <row r="1351" spans="1:7" x14ac:dyDescent="0.3">
      <c r="A1351" s="54">
        <v>45847</v>
      </c>
      <c r="B1351" s="45">
        <v>37438.19</v>
      </c>
      <c r="C1351" s="45">
        <v>37438.19</v>
      </c>
      <c r="D1351" s="45">
        <v>37438.19</v>
      </c>
      <c r="E1351" s="45">
        <v>37438.19</v>
      </c>
      <c r="F1351" s="18"/>
      <c r="G1351" s="22">
        <v>-5.9999999999999995E-4</v>
      </c>
    </row>
    <row r="1352" spans="1:7" x14ac:dyDescent="0.3">
      <c r="A1352" s="54">
        <v>45848</v>
      </c>
      <c r="B1352" s="45">
        <v>37302.43</v>
      </c>
      <c r="C1352" s="45">
        <v>37302.43</v>
      </c>
      <c r="D1352" s="45">
        <v>37302.43</v>
      </c>
      <c r="E1352" s="45">
        <v>37302.43</v>
      </c>
      <c r="F1352" s="18"/>
      <c r="G1352" s="22">
        <v>-3.5999999999999999E-3</v>
      </c>
    </row>
    <row r="1353" spans="1:7" x14ac:dyDescent="0.3">
      <c r="A1353" s="54">
        <v>45849</v>
      </c>
      <c r="B1353" s="45">
        <v>37005.03</v>
      </c>
      <c r="C1353" s="45">
        <v>37005.03</v>
      </c>
      <c r="D1353" s="45">
        <v>37005.03</v>
      </c>
      <c r="E1353" s="45">
        <v>37005.03</v>
      </c>
      <c r="F1353" s="18"/>
      <c r="G1353" s="22">
        <v>-8.0000000000000002E-3</v>
      </c>
    </row>
    <row r="1354" spans="1:7" x14ac:dyDescent="0.3">
      <c r="A1354" s="54">
        <v>45852</v>
      </c>
      <c r="B1354" s="45">
        <v>37047.199999999997</v>
      </c>
      <c r="C1354" s="45">
        <v>37047.199999999997</v>
      </c>
      <c r="D1354" s="45">
        <v>37047.199999999997</v>
      </c>
      <c r="E1354" s="45">
        <v>37047.199999999997</v>
      </c>
      <c r="F1354" s="18"/>
      <c r="G1354" s="22">
        <v>1.1000000000000001E-3</v>
      </c>
    </row>
    <row r="1355" spans="1:7" x14ac:dyDescent="0.3">
      <c r="A1355" s="54">
        <v>45853</v>
      </c>
      <c r="B1355" s="45">
        <v>37270.089999999997</v>
      </c>
      <c r="C1355" s="45">
        <v>37270.089999999997</v>
      </c>
      <c r="D1355" s="45">
        <v>37270.089999999997</v>
      </c>
      <c r="E1355" s="45">
        <v>37270.089999999997</v>
      </c>
      <c r="F1355" s="18"/>
      <c r="G1355" s="22">
        <v>6.0000000000000001E-3</v>
      </c>
    </row>
    <row r="1356" spans="1:7" x14ac:dyDescent="0.3">
      <c r="A1356" s="54">
        <v>45854</v>
      </c>
      <c r="B1356" s="45">
        <v>37309.4</v>
      </c>
      <c r="C1356" s="45">
        <v>37309.4</v>
      </c>
      <c r="D1356" s="45">
        <v>37309.4</v>
      </c>
      <c r="E1356" s="45">
        <v>37309.4</v>
      </c>
      <c r="F1356" s="18"/>
      <c r="G1356" s="22">
        <v>1.1000000000000001E-3</v>
      </c>
    </row>
    <row r="1357" spans="1:7" x14ac:dyDescent="0.3">
      <c r="A1357" s="54">
        <v>45855</v>
      </c>
      <c r="B1357" s="45">
        <v>37225.68</v>
      </c>
      <c r="C1357" s="45">
        <v>37225.68</v>
      </c>
      <c r="D1357" s="45">
        <v>37225.68</v>
      </c>
      <c r="E1357" s="45">
        <v>37225.68</v>
      </c>
      <c r="F1357" s="18"/>
      <c r="G1357" s="22">
        <v>-2.2000000000000001E-3</v>
      </c>
    </row>
    <row r="1358" spans="1:7" x14ac:dyDescent="0.3">
      <c r="A1358" s="54">
        <v>45856</v>
      </c>
      <c r="B1358" s="45">
        <v>37010.28</v>
      </c>
      <c r="C1358" s="45">
        <v>37010.28</v>
      </c>
      <c r="D1358" s="45">
        <v>37010.28</v>
      </c>
      <c r="E1358" s="45">
        <v>37010.28</v>
      </c>
      <c r="F1358" s="18"/>
      <c r="G1358" s="22">
        <v>-5.7999999999999996E-3</v>
      </c>
    </row>
    <row r="1359" spans="1:7" x14ac:dyDescent="0.3">
      <c r="A1359" s="54">
        <v>45859</v>
      </c>
      <c r="B1359" s="45">
        <v>37174.68</v>
      </c>
      <c r="C1359" s="45">
        <v>37174.68</v>
      </c>
      <c r="D1359" s="45">
        <v>37174.68</v>
      </c>
      <c r="E1359" s="45">
        <v>37174.68</v>
      </c>
      <c r="F1359" s="18"/>
      <c r="G1359" s="22">
        <v>4.4000000000000003E-3</v>
      </c>
    </row>
    <row r="1360" spans="1:7" x14ac:dyDescent="0.3">
      <c r="A1360" s="54">
        <v>45860</v>
      </c>
      <c r="B1360" s="45">
        <v>37083.15</v>
      </c>
      <c r="C1360" s="45">
        <v>37083.15</v>
      </c>
      <c r="D1360" s="45">
        <v>37083.15</v>
      </c>
      <c r="E1360" s="45">
        <v>37083.15</v>
      </c>
      <c r="F1360" s="18"/>
      <c r="G1360" s="22">
        <v>-2.5000000000000001E-3</v>
      </c>
    </row>
    <row r="1361" spans="1:7" x14ac:dyDescent="0.3">
      <c r="A1361" s="54">
        <v>45861</v>
      </c>
      <c r="B1361" s="45">
        <v>37254.92</v>
      </c>
      <c r="C1361" s="45">
        <v>37254.92</v>
      </c>
      <c r="D1361" s="45">
        <v>37254.92</v>
      </c>
      <c r="E1361" s="45">
        <v>37254.92</v>
      </c>
      <c r="F1361" s="18"/>
      <c r="G1361" s="22">
        <v>4.5999999999999999E-3</v>
      </c>
    </row>
    <row r="1362" spans="1:7" x14ac:dyDescent="0.3">
      <c r="A1362" s="54">
        <v>45862</v>
      </c>
      <c r="B1362" s="45">
        <v>37054.58</v>
      </c>
      <c r="C1362" s="45">
        <v>37054.58</v>
      </c>
      <c r="D1362" s="45">
        <v>37054.58</v>
      </c>
      <c r="E1362" s="45">
        <v>37054.58</v>
      </c>
      <c r="F1362" s="18"/>
      <c r="G1362" s="22">
        <v>-5.4000000000000003E-3</v>
      </c>
    </row>
    <row r="1363" spans="1:7" x14ac:dyDescent="0.3">
      <c r="A1363" s="54">
        <v>45863</v>
      </c>
      <c r="B1363" s="45">
        <v>36612.620000000003</v>
      </c>
      <c r="C1363" s="45">
        <v>36612.620000000003</v>
      </c>
      <c r="D1363" s="45">
        <v>36612.620000000003</v>
      </c>
      <c r="E1363" s="45">
        <v>36612.620000000003</v>
      </c>
      <c r="F1363" s="18"/>
      <c r="G1363" s="22">
        <v>-1.1900000000000001E-2</v>
      </c>
    </row>
    <row r="1364" spans="1:7" x14ac:dyDescent="0.3">
      <c r="A1364" s="54">
        <v>45866</v>
      </c>
      <c r="B1364" s="45">
        <v>36349.32</v>
      </c>
      <c r="C1364" s="45">
        <v>36349.32</v>
      </c>
      <c r="D1364" s="45">
        <v>36349.32</v>
      </c>
      <c r="E1364" s="45">
        <v>36349.32</v>
      </c>
      <c r="F1364" s="18"/>
      <c r="G1364" s="22">
        <v>-7.1999999999999998E-3</v>
      </c>
    </row>
    <row r="1365" spans="1:7" x14ac:dyDescent="0.3">
      <c r="A1365" s="54">
        <v>45867</v>
      </c>
      <c r="B1365" s="45">
        <v>36605.74</v>
      </c>
      <c r="C1365" s="45">
        <v>36605.74</v>
      </c>
      <c r="D1365" s="45">
        <v>36605.74</v>
      </c>
      <c r="E1365" s="45">
        <v>36605.74</v>
      </c>
      <c r="F1365" s="18"/>
      <c r="G1365" s="22">
        <v>7.1000000000000004E-3</v>
      </c>
    </row>
    <row r="1366" spans="1:7" x14ac:dyDescent="0.3">
      <c r="A1366" s="54">
        <v>45868</v>
      </c>
      <c r="B1366" s="45">
        <v>36647.67</v>
      </c>
      <c r="C1366" s="45">
        <v>36647.67</v>
      </c>
      <c r="D1366" s="45">
        <v>36647.67</v>
      </c>
      <c r="E1366" s="45">
        <v>36647.67</v>
      </c>
      <c r="F1366" s="18"/>
      <c r="G1366" s="22">
        <v>1.1000000000000001E-3</v>
      </c>
    </row>
    <row r="1367" spans="1:7" x14ac:dyDescent="0.3">
      <c r="A1367" s="54">
        <v>45869</v>
      </c>
      <c r="B1367" s="45">
        <v>36461.71</v>
      </c>
      <c r="C1367" s="45">
        <v>36461.71</v>
      </c>
      <c r="D1367" s="45">
        <v>36461.71</v>
      </c>
      <c r="E1367" s="45">
        <v>36461.71</v>
      </c>
      <c r="F1367" s="18"/>
      <c r="G1367" s="22">
        <v>-5.1000000000000004E-3</v>
      </c>
    </row>
    <row r="1368" spans="1:7" x14ac:dyDescent="0.3">
      <c r="A1368" s="54">
        <v>45870</v>
      </c>
      <c r="B1368" s="45">
        <v>36086.49</v>
      </c>
      <c r="C1368" s="45">
        <v>36086.49</v>
      </c>
      <c r="D1368" s="45">
        <v>36086.49</v>
      </c>
      <c r="E1368" s="45">
        <v>36086.49</v>
      </c>
      <c r="F1368" s="18"/>
      <c r="G1368" s="22">
        <v>-1.03E-2</v>
      </c>
    </row>
    <row r="1369" spans="1:7" x14ac:dyDescent="0.3">
      <c r="A1369" s="54">
        <v>45874</v>
      </c>
      <c r="B1369" s="45">
        <v>36288.639999999999</v>
      </c>
      <c r="C1369" s="45">
        <v>36288.639999999999</v>
      </c>
      <c r="D1369" s="45">
        <v>36288.639999999999</v>
      </c>
      <c r="E1369" s="45">
        <v>36288.639999999999</v>
      </c>
      <c r="F1369" s="18"/>
      <c r="G1369" s="22">
        <v>5.5999999999999999E-3</v>
      </c>
    </row>
    <row r="1370" spans="1:7" x14ac:dyDescent="0.3">
      <c r="A1370" s="54">
        <v>45875</v>
      </c>
      <c r="B1370" s="45">
        <v>36081.74</v>
      </c>
      <c r="C1370" s="45">
        <v>36081.74</v>
      </c>
      <c r="D1370" s="45">
        <v>36081.74</v>
      </c>
      <c r="E1370" s="45">
        <v>36081.74</v>
      </c>
      <c r="F1370" s="18"/>
      <c r="G1370" s="22">
        <v>-5.7000000000000002E-3</v>
      </c>
    </row>
    <row r="1371" spans="1:7" x14ac:dyDescent="0.3">
      <c r="A1371" s="54">
        <v>45876</v>
      </c>
      <c r="B1371" s="45">
        <v>36126.449999999997</v>
      </c>
      <c r="C1371" s="45">
        <v>36126.449999999997</v>
      </c>
      <c r="D1371" s="45">
        <v>36126.449999999997</v>
      </c>
      <c r="E1371" s="45">
        <v>36126.449999999997</v>
      </c>
      <c r="F1371" s="18"/>
      <c r="G1371" s="22">
        <v>1.1999999999999999E-3</v>
      </c>
    </row>
    <row r="1372" spans="1:7" x14ac:dyDescent="0.3">
      <c r="A1372" s="54">
        <v>45877</v>
      </c>
      <c r="B1372" s="45">
        <v>35729.39</v>
      </c>
      <c r="C1372" s="45">
        <v>35729.39</v>
      </c>
      <c r="D1372" s="45">
        <v>35729.39</v>
      </c>
      <c r="E1372" s="45">
        <v>35729.39</v>
      </c>
      <c r="F1372" s="18"/>
      <c r="G1372" s="22">
        <v>-1.0999999999999999E-2</v>
      </c>
    </row>
    <row r="1373" spans="1:7" x14ac:dyDescent="0.3">
      <c r="A1373" s="54">
        <v>45880</v>
      </c>
      <c r="B1373" s="45">
        <v>36032.97</v>
      </c>
      <c r="C1373" s="45">
        <v>36032.97</v>
      </c>
      <c r="D1373" s="45">
        <v>36032.97</v>
      </c>
      <c r="E1373" s="45">
        <v>36032.97</v>
      </c>
      <c r="F1373" s="18"/>
      <c r="G1373" s="22">
        <v>8.5000000000000006E-3</v>
      </c>
    </row>
    <row r="1374" spans="1:7" x14ac:dyDescent="0.3">
      <c r="A1374" s="54">
        <v>45881</v>
      </c>
      <c r="B1374" s="45">
        <v>35945.46</v>
      </c>
      <c r="C1374" s="45">
        <v>35945.46</v>
      </c>
      <c r="D1374" s="45">
        <v>35945.46</v>
      </c>
      <c r="E1374" s="45">
        <v>35945.46</v>
      </c>
      <c r="F1374" s="18"/>
      <c r="G1374" s="22">
        <v>-2.3999999999999998E-3</v>
      </c>
    </row>
    <row r="1375" spans="1:7" x14ac:dyDescent="0.3">
      <c r="A1375" s="54">
        <v>45883</v>
      </c>
      <c r="B1375" s="45">
        <v>36135.65</v>
      </c>
      <c r="C1375" s="45">
        <v>36135.65</v>
      </c>
      <c r="D1375" s="45">
        <v>36135.65</v>
      </c>
      <c r="E1375" s="45">
        <v>36135.65</v>
      </c>
      <c r="F1375" s="18"/>
      <c r="G1375" s="22">
        <v>5.3E-3</v>
      </c>
    </row>
    <row r="1376" spans="1:7" x14ac:dyDescent="0.3">
      <c r="A1376" s="54">
        <v>45887</v>
      </c>
      <c r="B1376" s="45">
        <v>36537.050000000003</v>
      </c>
      <c r="C1376" s="45">
        <v>36537.050000000003</v>
      </c>
      <c r="D1376" s="45">
        <v>36537.050000000003</v>
      </c>
      <c r="E1376" s="45">
        <v>36537.050000000003</v>
      </c>
      <c r="F1376" s="18"/>
      <c r="G1376" s="22">
        <v>1.11E-2</v>
      </c>
    </row>
    <row r="1377" spans="1:7" x14ac:dyDescent="0.3">
      <c r="A1377" s="54">
        <v>45888</v>
      </c>
      <c r="B1377" s="45">
        <v>36753.67</v>
      </c>
      <c r="C1377" s="45">
        <v>36753.67</v>
      </c>
      <c r="D1377" s="45">
        <v>36753.67</v>
      </c>
      <c r="E1377" s="45">
        <v>36753.67</v>
      </c>
      <c r="F1377" s="18"/>
      <c r="G1377" s="22">
        <v>5.8999999999999999E-3</v>
      </c>
    </row>
    <row r="1378" spans="1:7" x14ac:dyDescent="0.3">
      <c r="A1378" s="54">
        <v>45889</v>
      </c>
      <c r="B1378" s="45">
        <v>36875.67</v>
      </c>
      <c r="C1378" s="45">
        <v>36875.67</v>
      </c>
      <c r="D1378" s="45">
        <v>36875.67</v>
      </c>
      <c r="E1378" s="45">
        <v>36875.67</v>
      </c>
      <c r="F1378" s="18"/>
      <c r="G1378" s="22">
        <v>3.3E-3</v>
      </c>
    </row>
    <row r="1379" spans="1:7" x14ac:dyDescent="0.3">
      <c r="A1379" s="54">
        <v>45890</v>
      </c>
      <c r="B1379" s="45">
        <v>36869.089999999997</v>
      </c>
      <c r="C1379" s="45">
        <v>36869.089999999997</v>
      </c>
      <c r="D1379" s="45">
        <v>36869.089999999997</v>
      </c>
      <c r="E1379" s="45">
        <v>36869.089999999997</v>
      </c>
      <c r="F1379" s="18"/>
      <c r="G1379" s="22">
        <v>-2.0000000000000001E-4</v>
      </c>
    </row>
    <row r="1380" spans="1:7" x14ac:dyDescent="0.3">
      <c r="A1380" s="54">
        <v>45891</v>
      </c>
      <c r="B1380" s="45">
        <v>36639.050000000003</v>
      </c>
      <c r="C1380" s="45">
        <v>36639.050000000003</v>
      </c>
      <c r="D1380" s="45">
        <v>36639.050000000003</v>
      </c>
      <c r="E1380" s="45">
        <v>36639.050000000003</v>
      </c>
      <c r="F1380" s="18"/>
      <c r="G1380" s="22">
        <v>-6.1999999999999998E-3</v>
      </c>
    </row>
    <row r="1381" spans="1:7" x14ac:dyDescent="0.3">
      <c r="A1381" s="54">
        <v>45894</v>
      </c>
      <c r="B1381" s="45">
        <v>36737.519999999997</v>
      </c>
      <c r="C1381" s="45">
        <v>36737.519999999997</v>
      </c>
      <c r="D1381" s="45">
        <v>36737.519999999997</v>
      </c>
      <c r="E1381" s="45">
        <v>36737.519999999997</v>
      </c>
      <c r="F1381" s="18"/>
      <c r="G1381" s="22">
        <v>2.7000000000000001E-3</v>
      </c>
    </row>
    <row r="1382" spans="1:7" x14ac:dyDescent="0.3">
      <c r="A1382" s="54">
        <v>45895</v>
      </c>
      <c r="B1382" s="45">
        <v>36286.080000000002</v>
      </c>
      <c r="C1382" s="45">
        <v>36286.080000000002</v>
      </c>
      <c r="D1382" s="45">
        <v>36286.080000000002</v>
      </c>
      <c r="E1382" s="45">
        <v>36286.080000000002</v>
      </c>
      <c r="F1382" s="18"/>
      <c r="G1382" s="22">
        <v>-1.23E-2</v>
      </c>
    </row>
    <row r="1383" spans="1:7" x14ac:dyDescent="0.3">
      <c r="A1383" s="54">
        <v>45897</v>
      </c>
      <c r="B1383" s="45">
        <v>35924.5</v>
      </c>
      <c r="C1383" s="45">
        <v>35924.5</v>
      </c>
      <c r="D1383" s="45">
        <v>35924.5</v>
      </c>
      <c r="E1383" s="45">
        <v>35924.5</v>
      </c>
      <c r="F1383" s="18"/>
      <c r="G1383" s="22">
        <v>-0.01</v>
      </c>
    </row>
    <row r="1384" spans="1:7" x14ac:dyDescent="0.3">
      <c r="A1384" s="54">
        <v>45898</v>
      </c>
      <c r="B1384" s="45">
        <v>35799.379999999997</v>
      </c>
      <c r="C1384" s="45">
        <v>35799.379999999997</v>
      </c>
      <c r="D1384" s="45">
        <v>35799.379999999997</v>
      </c>
      <c r="E1384" s="45">
        <v>35799.379999999997</v>
      </c>
      <c r="F1384" s="18"/>
      <c r="G1384" s="22">
        <v>-3.5000000000000001E-3</v>
      </c>
    </row>
    <row r="1385" spans="1:7" x14ac:dyDescent="0.3">
      <c r="A1385" s="54">
        <v>45901</v>
      </c>
      <c r="B1385" s="45">
        <v>36198.879999999997</v>
      </c>
      <c r="C1385" s="45">
        <v>36198.879999999997</v>
      </c>
      <c r="D1385" s="45">
        <v>36198.879999999997</v>
      </c>
      <c r="E1385" s="45">
        <v>36198.879999999997</v>
      </c>
      <c r="F1385" s="18"/>
      <c r="G1385" s="22">
        <v>1.12E-2</v>
      </c>
    </row>
    <row r="1386" spans="1:7" x14ac:dyDescent="0.3">
      <c r="A1386" s="54">
        <v>45902</v>
      </c>
      <c r="B1386" s="45">
        <v>36216.300000000003</v>
      </c>
      <c r="C1386" s="45">
        <v>36216.300000000003</v>
      </c>
      <c r="D1386" s="45">
        <v>36216.300000000003</v>
      </c>
      <c r="E1386" s="45">
        <v>36216.300000000003</v>
      </c>
      <c r="F1386" s="18"/>
      <c r="G1386" s="22">
        <v>5.0000000000000001E-4</v>
      </c>
    </row>
    <row r="1387" spans="1:7" x14ac:dyDescent="0.3">
      <c r="A1387" s="54">
        <v>45903</v>
      </c>
      <c r="B1387" s="45">
        <v>36439.980000000003</v>
      </c>
      <c r="C1387" s="45">
        <v>36439.980000000003</v>
      </c>
      <c r="D1387" s="45">
        <v>36439.980000000003</v>
      </c>
      <c r="E1387" s="45">
        <v>36439.980000000003</v>
      </c>
      <c r="F1387" s="18"/>
      <c r="G1387" s="22">
        <v>6.1999999999999998E-3</v>
      </c>
    </row>
    <row r="1388" spans="1:7" x14ac:dyDescent="0.3">
      <c r="A1388" s="54">
        <v>45904</v>
      </c>
      <c r="B1388" s="45">
        <v>36373.300000000003</v>
      </c>
      <c r="C1388" s="45">
        <v>36373.300000000003</v>
      </c>
      <c r="D1388" s="45">
        <v>36373.300000000003</v>
      </c>
      <c r="E1388" s="45">
        <v>36373.300000000003</v>
      </c>
      <c r="F1388" s="18"/>
      <c r="G1388" s="22">
        <v>-1.8E-3</v>
      </c>
    </row>
    <row r="1389" spans="1:7" x14ac:dyDescent="0.3">
      <c r="A1389" s="54">
        <v>45905</v>
      </c>
      <c r="B1389" s="45">
        <v>36388.379999999997</v>
      </c>
      <c r="C1389" s="45">
        <v>36388.379999999997</v>
      </c>
      <c r="D1389" s="45">
        <v>36388.379999999997</v>
      </c>
      <c r="E1389" s="45">
        <v>36388.379999999997</v>
      </c>
      <c r="F1389" s="18"/>
      <c r="G1389" s="22">
        <v>4.0000000000000002E-4</v>
      </c>
    </row>
    <row r="1390" spans="1:7" x14ac:dyDescent="0.3">
      <c r="A1390" s="54">
        <v>45908</v>
      </c>
      <c r="B1390" s="45">
        <v>36467.99</v>
      </c>
      <c r="C1390" s="45">
        <v>36467.99</v>
      </c>
      <c r="D1390" s="45">
        <v>36467.99</v>
      </c>
      <c r="E1390" s="45">
        <v>36467.99</v>
      </c>
      <c r="F1390" s="18"/>
      <c r="G1390" s="22">
        <v>2.2000000000000001E-3</v>
      </c>
    </row>
    <row r="1391" spans="1:7" x14ac:dyDescent="0.3">
      <c r="A1391" s="54">
        <v>45909</v>
      </c>
      <c r="B1391" s="45">
        <v>36580.32</v>
      </c>
      <c r="C1391" s="45">
        <v>36580.32</v>
      </c>
      <c r="D1391" s="45">
        <v>36580.32</v>
      </c>
      <c r="E1391" s="45">
        <v>36580.32</v>
      </c>
      <c r="F1391" s="18"/>
      <c r="G1391" s="22">
        <v>3.0999999999999999E-3</v>
      </c>
    </row>
    <row r="1392" spans="1:7" x14ac:dyDescent="0.3">
      <c r="A1392" s="54">
        <v>45910</v>
      </c>
      <c r="B1392" s="45">
        <v>36780</v>
      </c>
      <c r="C1392" s="45">
        <v>36780</v>
      </c>
      <c r="D1392" s="45">
        <v>36780</v>
      </c>
      <c r="E1392" s="45">
        <v>36780</v>
      </c>
      <c r="F1392" s="18"/>
      <c r="G1392" s="22">
        <v>5.4999999999999997E-3</v>
      </c>
    </row>
    <row r="1393" spans="1:7" x14ac:dyDescent="0.3">
      <c r="A1393" s="54">
        <v>45911</v>
      </c>
      <c r="B1393" s="45">
        <v>36825.449999999997</v>
      </c>
      <c r="C1393" s="45">
        <v>36825.449999999997</v>
      </c>
      <c r="D1393" s="45">
        <v>36825.449999999997</v>
      </c>
      <c r="E1393" s="45">
        <v>36825.449999999997</v>
      </c>
      <c r="F1393" s="18"/>
      <c r="G1393" s="22">
        <v>1.1999999999999999E-3</v>
      </c>
    </row>
    <row r="1394" spans="1:7" x14ac:dyDescent="0.3">
      <c r="A1394" s="54">
        <v>45912</v>
      </c>
      <c r="B1394" s="45">
        <v>36965.519999999997</v>
      </c>
      <c r="C1394" s="45">
        <v>36965.519999999997</v>
      </c>
      <c r="D1394" s="45">
        <v>36965.519999999997</v>
      </c>
      <c r="E1394" s="45">
        <v>36965.519999999997</v>
      </c>
      <c r="F1394" s="18"/>
      <c r="G1394" s="22">
        <v>3.8E-3</v>
      </c>
    </row>
    <row r="1395" spans="1:7" x14ac:dyDescent="0.3">
      <c r="A1395" s="54">
        <v>45915</v>
      </c>
      <c r="B1395" s="45">
        <v>37006.74</v>
      </c>
      <c r="C1395" s="45">
        <v>37006.74</v>
      </c>
      <c r="D1395" s="45">
        <v>37006.74</v>
      </c>
      <c r="E1395" s="45">
        <v>37006.74</v>
      </c>
      <c r="F1395" s="18"/>
      <c r="G1395" s="22">
        <v>1.1000000000000001E-3</v>
      </c>
    </row>
    <row r="1396" spans="1:7" x14ac:dyDescent="0.3">
      <c r="A1396" s="54">
        <v>45916</v>
      </c>
      <c r="B1396" s="45">
        <v>37251.370000000003</v>
      </c>
      <c r="C1396" s="45">
        <v>37251.370000000003</v>
      </c>
      <c r="D1396" s="45">
        <v>37251.370000000003</v>
      </c>
      <c r="E1396" s="45">
        <v>37251.370000000003</v>
      </c>
      <c r="F1396" s="18"/>
      <c r="G1396" s="22">
        <v>6.6E-3</v>
      </c>
    </row>
    <row r="1397" spans="1:7" x14ac:dyDescent="0.3">
      <c r="A1397" s="54">
        <v>45917</v>
      </c>
      <c r="B1397" s="45">
        <v>37372.44</v>
      </c>
      <c r="C1397" s="45">
        <v>37372.44</v>
      </c>
      <c r="D1397" s="45">
        <v>37372.44</v>
      </c>
      <c r="E1397" s="45">
        <v>37372.44</v>
      </c>
      <c r="F1397" s="18"/>
      <c r="G1397" s="22">
        <v>3.3E-3</v>
      </c>
    </row>
    <row r="1398" spans="1:7" x14ac:dyDescent="0.3">
      <c r="A1398" s="54">
        <v>45918</v>
      </c>
      <c r="B1398" s="45">
        <v>37490.1</v>
      </c>
      <c r="C1398" s="45">
        <v>37490.1</v>
      </c>
      <c r="D1398" s="45">
        <v>37490.1</v>
      </c>
      <c r="E1398" s="45">
        <v>37490.1</v>
      </c>
      <c r="F1398" s="18"/>
      <c r="G1398" s="22">
        <v>3.0999999999999999E-3</v>
      </c>
    </row>
    <row r="1399" spans="1:7" x14ac:dyDescent="0.3">
      <c r="A1399" s="54">
        <v>45919</v>
      </c>
      <c r="B1399" s="45">
        <v>37439.300000000003</v>
      </c>
      <c r="C1399" s="45">
        <v>37439.300000000003</v>
      </c>
      <c r="D1399" s="45">
        <v>37439.300000000003</v>
      </c>
      <c r="E1399" s="45">
        <v>37439.300000000003</v>
      </c>
      <c r="F1399" s="18"/>
      <c r="G1399" s="22">
        <v>-1.4E-3</v>
      </c>
    </row>
    <row r="1400" spans="1:7" x14ac:dyDescent="0.3">
      <c r="A1400" s="54">
        <v>45922</v>
      </c>
      <c r="B1400" s="45">
        <v>37272.18</v>
      </c>
      <c r="C1400" s="45">
        <v>37272.18</v>
      </c>
      <c r="D1400" s="45">
        <v>37272.18</v>
      </c>
      <c r="E1400" s="45">
        <v>37272.18</v>
      </c>
      <c r="F1400" s="18"/>
      <c r="G1400" s="22">
        <v>-4.4999999999999997E-3</v>
      </c>
    </row>
    <row r="1401" spans="1:7" x14ac:dyDescent="0.3">
      <c r="A1401" s="54">
        <v>45923</v>
      </c>
      <c r="B1401" s="45">
        <v>37182.629999999997</v>
      </c>
      <c r="C1401" s="45">
        <v>37182.629999999997</v>
      </c>
      <c r="D1401" s="45">
        <v>37182.629999999997</v>
      </c>
      <c r="E1401" s="45">
        <v>37182.629999999997</v>
      </c>
      <c r="F1401" s="18"/>
      <c r="G1401" s="22">
        <v>-2.3999999999999998E-3</v>
      </c>
    </row>
    <row r="1402" spans="1:7" x14ac:dyDescent="0.3">
      <c r="A1402" s="54">
        <v>45924</v>
      </c>
      <c r="B1402" s="45">
        <v>36948.25</v>
      </c>
      <c r="C1402" s="45">
        <v>36948.25</v>
      </c>
      <c r="D1402" s="45">
        <v>36948.25</v>
      </c>
      <c r="E1402" s="45">
        <v>36948.25</v>
      </c>
      <c r="F1402" s="18"/>
      <c r="G1402" s="22">
        <v>-6.3E-3</v>
      </c>
    </row>
    <row r="1403" spans="1:7" x14ac:dyDescent="0.3">
      <c r="A1403" s="54">
        <v>45925</v>
      </c>
      <c r="B1403" s="45">
        <v>36699.82</v>
      </c>
      <c r="C1403" s="45">
        <v>36699.82</v>
      </c>
      <c r="D1403" s="45">
        <v>36699.82</v>
      </c>
      <c r="E1403" s="45">
        <v>36699.82</v>
      </c>
      <c r="F1403" s="18"/>
      <c r="G1403" s="22">
        <v>-6.7000000000000002E-3</v>
      </c>
    </row>
    <row r="1404" spans="1:7" x14ac:dyDescent="0.3">
      <c r="A1404" s="54">
        <v>45926</v>
      </c>
      <c r="B1404" s="45">
        <v>36206.839999999997</v>
      </c>
      <c r="C1404" s="45">
        <v>36206.839999999997</v>
      </c>
      <c r="D1404" s="45">
        <v>36206.839999999997</v>
      </c>
      <c r="E1404" s="45">
        <v>36206.839999999997</v>
      </c>
      <c r="F1404" s="18"/>
      <c r="G1404" s="22">
        <v>-1.34E-2</v>
      </c>
    </row>
    <row r="1405" spans="1:7" x14ac:dyDescent="0.3">
      <c r="A1405" s="54">
        <v>45929</v>
      </c>
      <c r="B1405" s="45">
        <v>36248.22</v>
      </c>
      <c r="C1405" s="45">
        <v>36248.22</v>
      </c>
      <c r="D1405" s="45">
        <v>36248.22</v>
      </c>
      <c r="E1405" s="45">
        <v>36248.22</v>
      </c>
      <c r="F1405" s="18"/>
      <c r="G1405" s="22">
        <v>1.1000000000000001E-3</v>
      </c>
    </row>
    <row r="1406" spans="1:7" x14ac:dyDescent="0.3">
      <c r="A1406" s="54">
        <v>45930</v>
      </c>
      <c r="B1406" s="45">
        <v>36248.22</v>
      </c>
      <c r="C1406" s="45">
        <v>36248.22</v>
      </c>
      <c r="D1406" s="45">
        <v>36248.22</v>
      </c>
      <c r="E1406" s="45">
        <v>36248.22</v>
      </c>
      <c r="F1406" s="18"/>
      <c r="G1406" s="22">
        <v>0</v>
      </c>
    </row>
    <row r="1407" spans="1:7" x14ac:dyDescent="0.3">
      <c r="A1407" s="54">
        <v>45931</v>
      </c>
      <c r="B1407" s="45">
        <v>36549.800000000003</v>
      </c>
      <c r="C1407" s="45">
        <v>36549.800000000003</v>
      </c>
      <c r="D1407" s="45">
        <v>36549.800000000003</v>
      </c>
      <c r="E1407" s="45">
        <v>36549.800000000003</v>
      </c>
      <c r="F1407" s="18"/>
      <c r="G1407" s="22">
        <v>8.3000000000000001E-3</v>
      </c>
    </row>
    <row r="1408" spans="1:7" x14ac:dyDescent="0.3">
      <c r="A1408" s="54">
        <v>45933</v>
      </c>
      <c r="B1408" s="45">
        <v>36708.39</v>
      </c>
      <c r="C1408" s="45">
        <v>36708.39</v>
      </c>
      <c r="D1408" s="45">
        <v>36708.39</v>
      </c>
      <c r="E1408" s="45">
        <v>36708.39</v>
      </c>
      <c r="F1408" s="18"/>
      <c r="G1408" s="22">
        <v>4.3E-3</v>
      </c>
    </row>
    <row r="1409" spans="1:7" x14ac:dyDescent="0.3">
      <c r="A1409" s="54">
        <v>45936</v>
      </c>
      <c r="B1409" s="45">
        <v>36934.660000000003</v>
      </c>
      <c r="C1409" s="45">
        <v>36934.660000000003</v>
      </c>
      <c r="D1409" s="45">
        <v>36934.660000000003</v>
      </c>
      <c r="E1409" s="45">
        <v>36934.660000000003</v>
      </c>
      <c r="F1409" s="18"/>
      <c r="G1409" s="22">
        <v>6.1999999999999998E-3</v>
      </c>
    </row>
    <row r="1410" spans="1:7" x14ac:dyDescent="0.3">
      <c r="A1410" s="54">
        <v>45937</v>
      </c>
      <c r="B1410" s="45">
        <v>36998.14</v>
      </c>
      <c r="C1410" s="45">
        <v>36998.14</v>
      </c>
      <c r="D1410" s="45">
        <v>36998.14</v>
      </c>
      <c r="E1410" s="45">
        <v>36998.14</v>
      </c>
      <c r="F1410" s="18"/>
      <c r="G1410" s="22">
        <v>1.6999999999999999E-3</v>
      </c>
    </row>
    <row r="1411" spans="1:7" x14ac:dyDescent="0.3">
      <c r="A1411" s="54">
        <v>45938</v>
      </c>
      <c r="B1411" s="45">
        <v>36838.5</v>
      </c>
      <c r="C1411" s="45">
        <v>36838.5</v>
      </c>
      <c r="D1411" s="45">
        <v>36838.5</v>
      </c>
      <c r="E1411" s="45">
        <v>36838.5</v>
      </c>
      <c r="F1411" s="18"/>
      <c r="G1411" s="22">
        <v>-4.3E-3</v>
      </c>
    </row>
    <row r="1412" spans="1:7" x14ac:dyDescent="0.3">
      <c r="A1412" s="54">
        <v>45939</v>
      </c>
      <c r="B1412" s="45">
        <v>37049.58</v>
      </c>
      <c r="C1412" s="45">
        <v>37049.58</v>
      </c>
      <c r="D1412" s="45">
        <v>37049.58</v>
      </c>
      <c r="E1412" s="45">
        <v>37049.58</v>
      </c>
      <c r="F1412" s="18"/>
      <c r="G1412" s="22">
        <v>5.7000000000000002E-3</v>
      </c>
    </row>
    <row r="1413" spans="1:7" x14ac:dyDescent="0.3">
      <c r="A1413" s="54">
        <v>45940</v>
      </c>
      <c r="B1413" s="45">
        <v>37202.44</v>
      </c>
      <c r="C1413" s="45">
        <v>37202.44</v>
      </c>
      <c r="D1413" s="45">
        <v>37202.44</v>
      </c>
      <c r="E1413" s="45">
        <v>37202.44</v>
      </c>
      <c r="F1413" s="18"/>
      <c r="G1413" s="22">
        <v>4.1000000000000003E-3</v>
      </c>
    </row>
    <row r="1414" spans="1:7" x14ac:dyDescent="0.3">
      <c r="A1414" s="54">
        <v>45944</v>
      </c>
      <c r="B1414" s="45">
        <v>36957.769999999997</v>
      </c>
      <c r="C1414" s="45">
        <v>36957.769999999997</v>
      </c>
      <c r="D1414" s="45">
        <v>36957.769999999997</v>
      </c>
      <c r="E1414" s="45">
        <v>36957.769999999997</v>
      </c>
      <c r="F1414" s="18"/>
      <c r="G1414" s="22">
        <v>-6.6E-3</v>
      </c>
    </row>
    <row r="1415" spans="1:7" x14ac:dyDescent="0.3">
      <c r="A1415" s="54">
        <v>45945</v>
      </c>
      <c r="B1415" s="45">
        <v>37268.03</v>
      </c>
      <c r="C1415" s="45">
        <v>37268.03</v>
      </c>
      <c r="D1415" s="45">
        <v>37268.03</v>
      </c>
      <c r="E1415" s="45">
        <v>37268.03</v>
      </c>
      <c r="F1415" s="18"/>
      <c r="G1415" s="22">
        <v>8.3999999999999995E-3</v>
      </c>
    </row>
    <row r="1416" spans="1:7" x14ac:dyDescent="0.3">
      <c r="A1416" s="54">
        <v>45946</v>
      </c>
      <c r="B1416" s="45">
        <v>37565.29</v>
      </c>
      <c r="C1416" s="45">
        <v>37565.29</v>
      </c>
      <c r="D1416" s="45">
        <v>37565.29</v>
      </c>
      <c r="E1416" s="45">
        <v>37565.29</v>
      </c>
      <c r="F1416" s="18"/>
      <c r="G1416" s="22">
        <v>8.0000000000000002E-3</v>
      </c>
    </row>
    <row r="1417" spans="1:7" x14ac:dyDescent="0.3">
      <c r="A1417" s="54">
        <v>45947</v>
      </c>
      <c r="B1417" s="45">
        <v>37622.31</v>
      </c>
      <c r="C1417" s="45">
        <v>37622.31</v>
      </c>
      <c r="D1417" s="45">
        <v>37622.31</v>
      </c>
      <c r="E1417" s="45">
        <v>37622.31</v>
      </c>
      <c r="F1417" s="18"/>
      <c r="G1417" s="22">
        <v>1.5E-3</v>
      </c>
    </row>
    <row r="1418" spans="1:7" x14ac:dyDescent="0.3">
      <c r="A1418" s="54">
        <v>45950</v>
      </c>
      <c r="B1418" s="45">
        <v>37812.39</v>
      </c>
      <c r="C1418" s="45">
        <v>37812.39</v>
      </c>
      <c r="D1418" s="45">
        <v>37812.39</v>
      </c>
      <c r="E1418" s="45">
        <v>37812.39</v>
      </c>
      <c r="F1418" s="18"/>
      <c r="G1418" s="22">
        <v>5.1000000000000004E-3</v>
      </c>
    </row>
    <row r="1419" spans="1:7" x14ac:dyDescent="0.3">
      <c r="A1419" s="54">
        <v>45951</v>
      </c>
      <c r="B1419" s="45">
        <v>37881.08</v>
      </c>
      <c r="C1419" s="45">
        <v>37881.08</v>
      </c>
      <c r="D1419" s="45">
        <v>37881.08</v>
      </c>
      <c r="E1419" s="45">
        <v>37881.08</v>
      </c>
      <c r="F1419" s="18"/>
      <c r="G1419" s="22">
        <v>1.8E-3</v>
      </c>
    </row>
    <row r="1420" spans="1:7" x14ac:dyDescent="0.3">
      <c r="A1420" s="54">
        <v>45953</v>
      </c>
      <c r="B1420" s="45">
        <v>37876.129999999997</v>
      </c>
      <c r="C1420" s="45">
        <v>37876.129999999997</v>
      </c>
      <c r="D1420" s="45">
        <v>37876.129999999997</v>
      </c>
      <c r="E1420" s="45">
        <v>37876.129999999997</v>
      </c>
      <c r="F1420" s="18"/>
      <c r="G1420" s="22">
        <v>-1E-4</v>
      </c>
    </row>
    <row r="1421" spans="1:7" x14ac:dyDescent="0.3">
      <c r="A1421" s="54">
        <v>45954</v>
      </c>
      <c r="B1421" s="45">
        <v>37766.89</v>
      </c>
      <c r="C1421" s="45">
        <v>37766.89</v>
      </c>
      <c r="D1421" s="45">
        <v>37766.89</v>
      </c>
      <c r="E1421" s="45">
        <v>37766.89</v>
      </c>
      <c r="F1421" s="18"/>
      <c r="G1421" s="22">
        <v>-2.8999999999999998E-3</v>
      </c>
    </row>
    <row r="1422" spans="1:7" x14ac:dyDescent="0.3">
      <c r="A1422" s="54">
        <v>45957</v>
      </c>
      <c r="B1422" s="45">
        <v>38030.32</v>
      </c>
      <c r="C1422" s="45">
        <v>38030.32</v>
      </c>
      <c r="D1422" s="45">
        <v>38030.32</v>
      </c>
      <c r="E1422" s="45">
        <v>38030.32</v>
      </c>
      <c r="F1422" s="18"/>
      <c r="G1422" s="22">
        <v>7.0000000000000001E-3</v>
      </c>
    </row>
    <row r="1423" spans="1:7" x14ac:dyDescent="0.3">
      <c r="A1423" s="54">
        <v>45958</v>
      </c>
      <c r="B1423" s="45">
        <v>37985.14</v>
      </c>
      <c r="C1423" s="45">
        <v>37985.14</v>
      </c>
      <c r="D1423" s="45">
        <v>37985.14</v>
      </c>
      <c r="E1423" s="45">
        <v>37985.14</v>
      </c>
      <c r="F1423" s="18"/>
      <c r="G1423" s="22">
        <v>-1.1999999999999999E-3</v>
      </c>
    </row>
    <row r="1424" spans="1:7" x14ac:dyDescent="0.3">
      <c r="A1424" s="54">
        <v>45959</v>
      </c>
      <c r="B1424" s="45">
        <v>38208.18</v>
      </c>
      <c r="C1424" s="45">
        <v>38208.18</v>
      </c>
      <c r="D1424" s="45">
        <v>38208.18</v>
      </c>
      <c r="E1424" s="45">
        <v>38208.18</v>
      </c>
      <c r="F1424" s="18"/>
      <c r="G1424" s="22">
        <v>5.8999999999999999E-3</v>
      </c>
    </row>
    <row r="1425" spans="1:7" x14ac:dyDescent="0.3">
      <c r="A1425" s="54">
        <v>45960</v>
      </c>
      <c r="B1425" s="45">
        <v>38030.97</v>
      </c>
      <c r="C1425" s="45">
        <v>38030.97</v>
      </c>
      <c r="D1425" s="45">
        <v>38030.97</v>
      </c>
      <c r="E1425" s="45">
        <v>38030.97</v>
      </c>
      <c r="F1425" s="18"/>
      <c r="G1425" s="22">
        <v>-4.5999999999999999E-3</v>
      </c>
    </row>
    <row r="1426" spans="1:7" x14ac:dyDescent="0.3">
      <c r="A1426" s="54">
        <v>45961</v>
      </c>
      <c r="B1426" s="45">
        <v>37822.449999999997</v>
      </c>
      <c r="C1426" s="45">
        <v>37822.449999999997</v>
      </c>
      <c r="D1426" s="45">
        <v>37822.449999999997</v>
      </c>
      <c r="E1426" s="45">
        <v>37822.449999999997</v>
      </c>
      <c r="F1426" s="18"/>
      <c r="G1426" s="22">
        <v>-5.4999999999999997E-3</v>
      </c>
    </row>
    <row r="1427" spans="1:7" x14ac:dyDescent="0.3">
      <c r="A1427" s="54">
        <v>45964</v>
      </c>
      <c r="B1427" s="45">
        <v>37983.99</v>
      </c>
      <c r="C1427" s="45">
        <v>37983.99</v>
      </c>
      <c r="D1427" s="45">
        <v>37983.99</v>
      </c>
      <c r="E1427" s="45">
        <v>37983.99</v>
      </c>
      <c r="F1427" s="18"/>
      <c r="G1427" s="22">
        <v>4.3E-3</v>
      </c>
    </row>
    <row r="1428" spans="1:7" x14ac:dyDescent="0.3">
      <c r="A1428" s="54">
        <v>45965</v>
      </c>
      <c r="B1428" s="45">
        <v>37768.49</v>
      </c>
      <c r="C1428" s="45">
        <v>37768.49</v>
      </c>
      <c r="D1428" s="45">
        <v>37768.49</v>
      </c>
      <c r="E1428" s="45">
        <v>37768.49</v>
      </c>
      <c r="F1428" s="18"/>
      <c r="G1428" s="22">
        <v>-5.7000000000000002E-3</v>
      </c>
    </row>
    <row r="1429" spans="1:7" x14ac:dyDescent="0.3">
      <c r="A1429" s="54">
        <v>45967</v>
      </c>
      <c r="B1429" s="45">
        <v>37510.82</v>
      </c>
      <c r="C1429" s="45">
        <v>37510.82</v>
      </c>
      <c r="D1429" s="45">
        <v>37510.82</v>
      </c>
      <c r="E1429" s="45">
        <v>37510.82</v>
      </c>
      <c r="F1429" s="18"/>
      <c r="G1429" s="22">
        <v>-6.7999999999999996E-3</v>
      </c>
    </row>
    <row r="1430" spans="1:7" x14ac:dyDescent="0.3">
      <c r="A1430" s="54">
        <v>45968</v>
      </c>
      <c r="B1430" s="45">
        <v>37532.199999999997</v>
      </c>
      <c r="C1430" s="45">
        <v>37532.199999999997</v>
      </c>
      <c r="D1430" s="45">
        <v>37532.199999999997</v>
      </c>
      <c r="E1430" s="45">
        <v>37532.199999999997</v>
      </c>
      <c r="F1430" s="18"/>
      <c r="G1430" s="22">
        <v>5.9999999999999995E-4</v>
      </c>
    </row>
    <row r="1431" spans="1:7" x14ac:dyDescent="0.3">
      <c r="A1431" s="54">
        <v>45971</v>
      </c>
      <c r="B1431" s="45">
        <v>37656.69</v>
      </c>
      <c r="C1431" s="45">
        <v>37656.69</v>
      </c>
      <c r="D1431" s="45">
        <v>37656.69</v>
      </c>
      <c r="E1431" s="45">
        <v>37656.69</v>
      </c>
      <c r="F1431" s="18"/>
      <c r="G1431" s="22">
        <v>3.3E-3</v>
      </c>
    </row>
    <row r="1432" spans="1:7" x14ac:dyDescent="0.3">
      <c r="A1432" s="54">
        <v>45972</v>
      </c>
      <c r="B1432" s="45">
        <v>37794.11</v>
      </c>
      <c r="C1432" s="45">
        <v>37794.11</v>
      </c>
      <c r="D1432" s="45">
        <v>37794.11</v>
      </c>
      <c r="E1432" s="45">
        <v>37794.11</v>
      </c>
      <c r="F1432" s="18"/>
      <c r="G1432" s="22">
        <v>3.5999999999999999E-3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32"/>
  <sheetViews>
    <sheetView workbookViewId="0">
      <selection activeCell="H14" sqref="H14"/>
    </sheetView>
  </sheetViews>
  <sheetFormatPr defaultRowHeight="14.4" x14ac:dyDescent="0.3"/>
  <cols>
    <col min="1" max="1" width="10.33203125" bestFit="1" customWidth="1"/>
    <col min="3" max="3" width="19.33203125" style="13" customWidth="1"/>
    <col min="4" max="4" width="16.77734375" style="11" bestFit="1" customWidth="1"/>
    <col min="5" max="5" width="11.109375" customWidth="1"/>
  </cols>
  <sheetData>
    <row r="1" spans="1:5" x14ac:dyDescent="0.3">
      <c r="A1" s="44" t="s">
        <v>185</v>
      </c>
      <c r="B1" s="31" t="s">
        <v>186</v>
      </c>
      <c r="C1" s="31" t="s">
        <v>187</v>
      </c>
      <c r="D1" s="44" t="s">
        <v>187</v>
      </c>
      <c r="E1" s="44" t="s">
        <v>189</v>
      </c>
    </row>
    <row r="2" spans="1:5" x14ac:dyDescent="0.3">
      <c r="A2" s="54">
        <v>43831</v>
      </c>
      <c r="B2" s="45">
        <v>14843.29</v>
      </c>
      <c r="C2" s="19">
        <f t="shared" ref="C2:C65" si="0">EOMONTH(A2,0)</f>
        <v>43861</v>
      </c>
      <c r="D2" s="43">
        <f t="array" ref="D2:D73">_xlfn.UNIQUE(_xlfn._xlws.SORT(C2:C2000))</f>
        <v>43861</v>
      </c>
      <c r="E2" s="45">
        <f t="array" ref="E2">LOOKUP(2,1/($C$2:$C$2000=D2),$B$2:$B$2000)</f>
        <v>14804.57</v>
      </c>
    </row>
    <row r="3" spans="1:5" x14ac:dyDescent="0.3">
      <c r="A3" s="54">
        <v>43832</v>
      </c>
      <c r="B3" s="45">
        <v>14980.54</v>
      </c>
      <c r="C3" s="19">
        <f t="shared" si="0"/>
        <v>43861</v>
      </c>
      <c r="D3" s="43">
        <v>43890</v>
      </c>
      <c r="E3" s="45">
        <f t="array" ref="E3">LOOKUP(2,1/($C$2:$C$2000=D3),$B$2:$B$2000)</f>
        <v>13875.34</v>
      </c>
    </row>
    <row r="4" spans="1:5" x14ac:dyDescent="0.3">
      <c r="A4" s="54">
        <v>43833</v>
      </c>
      <c r="B4" s="45">
        <v>14922.99</v>
      </c>
      <c r="C4" s="19">
        <f t="shared" si="0"/>
        <v>43861</v>
      </c>
      <c r="D4" s="43">
        <v>43921</v>
      </c>
      <c r="E4" s="45">
        <f t="array" ref="E4">LOOKUP(2,1/($C$2:$C$2000=D4),$B$2:$B$2000)</f>
        <v>10167.459999999999</v>
      </c>
    </row>
    <row r="5" spans="1:5" x14ac:dyDescent="0.3">
      <c r="A5" s="54">
        <v>43836</v>
      </c>
      <c r="B5" s="45">
        <v>14631.41</v>
      </c>
      <c r="C5" s="19">
        <f t="shared" si="0"/>
        <v>43861</v>
      </c>
      <c r="D5" s="43">
        <v>43951</v>
      </c>
      <c r="E5" s="45">
        <f t="array" ref="E5">LOOKUP(2,1/($C$2:$C$2000=D5),$B$2:$B$2000)</f>
        <v>12072.43</v>
      </c>
    </row>
    <row r="6" spans="1:5" x14ac:dyDescent="0.3">
      <c r="A6" s="54">
        <v>43837</v>
      </c>
      <c r="B6" s="45">
        <v>14718.47</v>
      </c>
      <c r="C6" s="19">
        <f t="shared" si="0"/>
        <v>43861</v>
      </c>
      <c r="D6" s="43">
        <v>43982</v>
      </c>
      <c r="E6" s="45">
        <f t="array" ref="E6">LOOKUP(2,1/($C$2:$C$2000=D6),$B$2:$B$2000)</f>
        <v>11793.53</v>
      </c>
    </row>
    <row r="7" spans="1:5" x14ac:dyDescent="0.3">
      <c r="A7" s="54">
        <v>43838</v>
      </c>
      <c r="B7" s="45">
        <v>14698.65</v>
      </c>
      <c r="C7" s="19">
        <f t="shared" si="0"/>
        <v>43861</v>
      </c>
      <c r="D7" s="43">
        <v>44012</v>
      </c>
      <c r="E7" s="45">
        <f t="array" ref="E7">LOOKUP(2,1/($C$2:$C$2000=D7),$B$2:$B$2000)</f>
        <v>12783.45</v>
      </c>
    </row>
    <row r="8" spans="1:5" x14ac:dyDescent="0.3">
      <c r="A8" s="54">
        <v>43839</v>
      </c>
      <c r="B8" s="45">
        <v>14926.45</v>
      </c>
      <c r="C8" s="19">
        <f t="shared" si="0"/>
        <v>43861</v>
      </c>
      <c r="D8" s="43">
        <v>44043</v>
      </c>
      <c r="E8" s="45">
        <f t="array" ref="E8">LOOKUP(2,1/($C$2:$C$2000=D8),$B$2:$B$2000)</f>
        <v>13654.79</v>
      </c>
    </row>
    <row r="9" spans="1:5" x14ac:dyDescent="0.3">
      <c r="A9" s="54">
        <v>43840</v>
      </c>
      <c r="B9" s="45">
        <v>14977.61</v>
      </c>
      <c r="C9" s="19">
        <f t="shared" si="0"/>
        <v>43861</v>
      </c>
      <c r="D9" s="43">
        <v>44074</v>
      </c>
      <c r="E9" s="45">
        <f t="array" ref="E9">LOOKUP(2,1/($C$2:$C$2000=D9),$B$2:$B$2000)</f>
        <v>14179.34</v>
      </c>
    </row>
    <row r="10" spans="1:5" x14ac:dyDescent="0.3">
      <c r="A10" s="54">
        <v>43843</v>
      </c>
      <c r="B10" s="45">
        <v>15074.41</v>
      </c>
      <c r="C10" s="19">
        <f t="shared" si="0"/>
        <v>43861</v>
      </c>
      <c r="D10" s="43">
        <v>44104</v>
      </c>
      <c r="E10" s="45">
        <f t="array" ref="E10">LOOKUP(2,1/($C$2:$C$2000=D10),$B$2:$B$2000)</f>
        <v>14139.78</v>
      </c>
    </row>
    <row r="11" spans="1:5" x14ac:dyDescent="0.3">
      <c r="A11" s="54">
        <v>43844</v>
      </c>
      <c r="B11" s="45">
        <v>15124.47</v>
      </c>
      <c r="C11" s="19">
        <f t="shared" si="0"/>
        <v>43861</v>
      </c>
      <c r="D11" s="43">
        <v>44135</v>
      </c>
      <c r="E11" s="45">
        <f t="array" ref="E11">LOOKUP(2,1/($C$2:$C$2000=D11),$B$2:$B$2000)</f>
        <v>14521.56</v>
      </c>
    </row>
    <row r="12" spans="1:5" x14ac:dyDescent="0.3">
      <c r="A12" s="54">
        <v>43845</v>
      </c>
      <c r="B12" s="45">
        <v>15141.31</v>
      </c>
      <c r="C12" s="19">
        <f t="shared" si="0"/>
        <v>43861</v>
      </c>
      <c r="D12" s="43">
        <v>44165</v>
      </c>
      <c r="E12" s="45">
        <f t="array" ref="E12">LOOKUP(2,1/($C$2:$C$2000=D12),$B$2:$B$2000)</f>
        <v>16255.62</v>
      </c>
    </row>
    <row r="13" spans="1:5" x14ac:dyDescent="0.3">
      <c r="A13" s="54">
        <v>43846</v>
      </c>
      <c r="B13" s="45">
        <v>15175.81</v>
      </c>
      <c r="C13" s="19">
        <f t="shared" si="0"/>
        <v>43861</v>
      </c>
      <c r="D13" s="43">
        <v>44196</v>
      </c>
      <c r="E13" s="45">
        <f t="array" ref="E13">LOOKUP(2,1/($C$2:$C$2000=D13),$B$2:$B$2000)</f>
        <v>17470.79</v>
      </c>
    </row>
    <row r="14" spans="1:5" x14ac:dyDescent="0.3">
      <c r="A14" s="54">
        <v>43847</v>
      </c>
      <c r="B14" s="45">
        <v>15188.79</v>
      </c>
      <c r="C14" s="19">
        <f t="shared" si="0"/>
        <v>43861</v>
      </c>
      <c r="D14" s="43">
        <v>44227</v>
      </c>
      <c r="E14" s="45">
        <f t="array" ref="E14">LOOKUP(2,1/($C$2:$C$2000=D14),$B$2:$B$2000)</f>
        <v>17147.27</v>
      </c>
    </row>
    <row r="15" spans="1:5" x14ac:dyDescent="0.3">
      <c r="A15" s="54">
        <v>43850</v>
      </c>
      <c r="B15" s="45">
        <v>15049.24</v>
      </c>
      <c r="C15" s="19">
        <f t="shared" si="0"/>
        <v>43861</v>
      </c>
      <c r="D15" s="43">
        <v>44255</v>
      </c>
      <c r="E15" s="45">
        <f t="array" ref="E15">LOOKUP(2,1/($C$2:$C$2000=D15),$B$2:$B$2000)</f>
        <v>18504.86</v>
      </c>
    </row>
    <row r="16" spans="1:5" x14ac:dyDescent="0.3">
      <c r="A16" s="54">
        <v>43851</v>
      </c>
      <c r="B16" s="45">
        <v>14991.99</v>
      </c>
      <c r="C16" s="19">
        <f t="shared" si="0"/>
        <v>43861</v>
      </c>
      <c r="D16" s="43">
        <v>44286</v>
      </c>
      <c r="E16" s="45">
        <f t="array" ref="E16">LOOKUP(2,1/($C$2:$C$2000=D16),$B$2:$B$2000)</f>
        <v>18717.240000000002</v>
      </c>
    </row>
    <row r="17" spans="1:5" x14ac:dyDescent="0.3">
      <c r="A17" s="54">
        <v>43852</v>
      </c>
      <c r="B17" s="45">
        <v>14931.11</v>
      </c>
      <c r="C17" s="19">
        <f t="shared" si="0"/>
        <v>43861</v>
      </c>
      <c r="D17" s="43">
        <v>44316</v>
      </c>
      <c r="E17" s="45">
        <f t="array" ref="E17">LOOKUP(2,1/($C$2:$C$2000=D17),$B$2:$B$2000)</f>
        <v>18802.03</v>
      </c>
    </row>
    <row r="18" spans="1:5" x14ac:dyDescent="0.3">
      <c r="A18" s="54">
        <v>43853</v>
      </c>
      <c r="B18" s="45">
        <v>15043.86</v>
      </c>
      <c r="C18" s="19">
        <f t="shared" si="0"/>
        <v>43861</v>
      </c>
      <c r="D18" s="43">
        <v>44347</v>
      </c>
      <c r="E18" s="45">
        <f t="array" ref="E18">LOOKUP(2,1/($C$2:$C$2000=D18),$B$2:$B$2000)</f>
        <v>20138.099999999999</v>
      </c>
    </row>
    <row r="19" spans="1:5" x14ac:dyDescent="0.3">
      <c r="A19" s="54">
        <v>43854</v>
      </c>
      <c r="B19" s="45">
        <v>15138.19</v>
      </c>
      <c r="C19" s="19">
        <f t="shared" si="0"/>
        <v>43861</v>
      </c>
      <c r="D19" s="43">
        <v>44377</v>
      </c>
      <c r="E19" s="45">
        <f t="array" ref="E19">LOOKUP(2,1/($C$2:$C$2000=D19),$B$2:$B$2000)</f>
        <v>20552.2</v>
      </c>
    </row>
    <row r="20" spans="1:5" x14ac:dyDescent="0.3">
      <c r="A20" s="54">
        <v>43857</v>
      </c>
      <c r="B20" s="45">
        <v>15011.93</v>
      </c>
      <c r="C20" s="19">
        <f t="shared" si="0"/>
        <v>43861</v>
      </c>
      <c r="D20" s="43">
        <v>44408</v>
      </c>
      <c r="E20" s="45">
        <f t="array" ref="E20">LOOKUP(2,1/($C$2:$C$2000=D20),$B$2:$B$2000)</f>
        <v>20876.599999999999</v>
      </c>
    </row>
    <row r="21" spans="1:5" x14ac:dyDescent="0.3">
      <c r="A21" s="54">
        <v>43858</v>
      </c>
      <c r="B21" s="45">
        <v>14947.9</v>
      </c>
      <c r="C21" s="19">
        <f t="shared" si="0"/>
        <v>43861</v>
      </c>
      <c r="D21" s="43">
        <v>44439</v>
      </c>
      <c r="E21" s="45">
        <f t="array" ref="E21">LOOKUP(2,1/($C$2:$C$2000=D21),$B$2:$B$2000)</f>
        <v>22253.61</v>
      </c>
    </row>
    <row r="22" spans="1:5" x14ac:dyDescent="0.3">
      <c r="A22" s="54">
        <v>43859</v>
      </c>
      <c r="B22" s="45">
        <v>15026.51</v>
      </c>
      <c r="C22" s="19">
        <f t="shared" si="0"/>
        <v>43861</v>
      </c>
      <c r="D22" s="43">
        <v>44469</v>
      </c>
      <c r="E22" s="45">
        <f t="array" ref="E22">LOOKUP(2,1/($C$2:$C$2000=D22),$B$2:$B$2000)</f>
        <v>23029.08</v>
      </c>
    </row>
    <row r="23" spans="1:5" x14ac:dyDescent="0.3">
      <c r="A23" s="54">
        <v>43860</v>
      </c>
      <c r="B23" s="45">
        <v>14891.25</v>
      </c>
      <c r="C23" s="19">
        <f t="shared" si="0"/>
        <v>43861</v>
      </c>
      <c r="D23" s="43">
        <v>44500</v>
      </c>
      <c r="E23" s="45">
        <f t="array" ref="E23">LOOKUP(2,1/($C$2:$C$2000=D23),$B$2:$B$2000)</f>
        <v>23100.97</v>
      </c>
    </row>
    <row r="24" spans="1:5" x14ac:dyDescent="0.3">
      <c r="A24" s="54">
        <v>43861</v>
      </c>
      <c r="B24" s="45">
        <v>14804.57</v>
      </c>
      <c r="C24" s="19">
        <f t="shared" si="0"/>
        <v>43861</v>
      </c>
      <c r="D24" s="43">
        <v>44530</v>
      </c>
      <c r="E24" s="45">
        <f t="array" ref="E24">LOOKUP(2,1/($C$2:$C$2000=D24),$B$2:$B$2000)</f>
        <v>22447.74</v>
      </c>
    </row>
    <row r="25" spans="1:5" x14ac:dyDescent="0.3">
      <c r="A25" s="54">
        <v>43862</v>
      </c>
      <c r="B25" s="45">
        <v>3581.29</v>
      </c>
      <c r="C25" s="19">
        <f t="shared" si="0"/>
        <v>43890</v>
      </c>
      <c r="D25" s="43">
        <v>44561</v>
      </c>
      <c r="E25" s="45">
        <f t="array" ref="E25">LOOKUP(2,1/($C$2:$C$2000=D25),$B$2:$B$2000)</f>
        <v>22990.880000000001</v>
      </c>
    </row>
    <row r="26" spans="1:5" x14ac:dyDescent="0.3">
      <c r="A26" s="54">
        <v>43864</v>
      </c>
      <c r="B26" s="45">
        <v>14488.18</v>
      </c>
      <c r="C26" s="19">
        <f t="shared" si="0"/>
        <v>43890</v>
      </c>
      <c r="D26" s="43">
        <v>44592</v>
      </c>
      <c r="E26" s="45">
        <f t="array" ref="E26">LOOKUP(2,1/($C$2:$C$2000=D26),$B$2:$B$2000)</f>
        <v>22881.58</v>
      </c>
    </row>
    <row r="27" spans="1:5" x14ac:dyDescent="0.3">
      <c r="A27" s="54">
        <v>43865</v>
      </c>
      <c r="B27" s="45">
        <v>14792.21</v>
      </c>
      <c r="C27" s="19">
        <f t="shared" si="0"/>
        <v>43890</v>
      </c>
      <c r="D27" s="43">
        <v>44620</v>
      </c>
      <c r="E27" s="45">
        <f t="array" ref="E27">LOOKUP(2,1/($C$2:$C$2000=D27),$B$2:$B$2000)</f>
        <v>21978.65</v>
      </c>
    </row>
    <row r="28" spans="1:5" x14ac:dyDescent="0.3">
      <c r="A28" s="54">
        <v>43866</v>
      </c>
      <c r="B28" s="45">
        <v>14939.95</v>
      </c>
      <c r="C28" s="19">
        <f t="shared" si="0"/>
        <v>43890</v>
      </c>
      <c r="D28" s="43">
        <v>44651</v>
      </c>
      <c r="E28" s="45">
        <f t="array" ref="E28">LOOKUP(2,1/($C$2:$C$2000=D28),$B$2:$B$2000)</f>
        <v>22889.14</v>
      </c>
    </row>
    <row r="29" spans="1:5" x14ac:dyDescent="0.3">
      <c r="A29" s="54">
        <v>43867</v>
      </c>
      <c r="B29" s="45">
        <v>15019.88</v>
      </c>
      <c r="C29" s="19">
        <f t="shared" si="0"/>
        <v>43890</v>
      </c>
      <c r="D29" s="43">
        <v>44681</v>
      </c>
      <c r="E29" s="45">
        <f t="array" ref="E29">LOOKUP(2,1/($C$2:$C$2000=D29),$B$2:$B$2000)</f>
        <v>22726.01</v>
      </c>
    </row>
    <row r="30" spans="1:5" x14ac:dyDescent="0.3">
      <c r="A30" s="54">
        <v>43868</v>
      </c>
      <c r="B30" s="45">
        <v>15014.96</v>
      </c>
      <c r="C30" s="19">
        <f t="shared" si="0"/>
        <v>43890</v>
      </c>
      <c r="D30" s="43">
        <v>44712</v>
      </c>
      <c r="E30" s="45">
        <f t="array" ref="E30">LOOKUP(2,1/($C$2:$C$2000=D30),$B$2:$B$2000)</f>
        <v>21765.82</v>
      </c>
    </row>
    <row r="31" spans="1:5" x14ac:dyDescent="0.3">
      <c r="A31" s="54">
        <v>43871</v>
      </c>
      <c r="B31" s="45">
        <v>14932.29</v>
      </c>
      <c r="C31" s="19">
        <f t="shared" si="0"/>
        <v>43890</v>
      </c>
      <c r="D31" s="43">
        <v>44742</v>
      </c>
      <c r="E31" s="45">
        <f t="array" ref="E31">LOOKUP(2,1/($C$2:$C$2000=D31),$B$2:$B$2000)</f>
        <v>20667.27</v>
      </c>
    </row>
    <row r="32" spans="1:5" x14ac:dyDescent="0.3">
      <c r="A32" s="54">
        <v>43872</v>
      </c>
      <c r="B32" s="45">
        <v>14994.85</v>
      </c>
      <c r="C32" s="19">
        <f t="shared" si="0"/>
        <v>43890</v>
      </c>
      <c r="D32" s="43">
        <v>44773</v>
      </c>
      <c r="E32" s="45">
        <f t="array" ref="E32">LOOKUP(2,1/($C$2:$C$2000=D32),$B$2:$B$2000)</f>
        <v>22678.29</v>
      </c>
    </row>
    <row r="33" spans="1:5" x14ac:dyDescent="0.3">
      <c r="A33" s="54">
        <v>43873</v>
      </c>
      <c r="B33" s="45">
        <v>15070.16</v>
      </c>
      <c r="C33" s="19">
        <f t="shared" si="0"/>
        <v>43890</v>
      </c>
      <c r="D33" s="43">
        <v>44804</v>
      </c>
      <c r="E33" s="45">
        <f t="array" ref="E33">LOOKUP(2,1/($C$2:$C$2000=D33),$B$2:$B$2000)</f>
        <v>23740.37</v>
      </c>
    </row>
    <row r="34" spans="1:5" x14ac:dyDescent="0.3">
      <c r="A34" s="54">
        <v>43874</v>
      </c>
      <c r="B34" s="45">
        <v>15041.87</v>
      </c>
      <c r="C34" s="19">
        <f t="shared" si="0"/>
        <v>43890</v>
      </c>
      <c r="D34" s="43">
        <v>44834</v>
      </c>
      <c r="E34" s="45">
        <f t="array" ref="E34">LOOKUP(2,1/($C$2:$C$2000=D34),$B$2:$B$2000)</f>
        <v>22979.45</v>
      </c>
    </row>
    <row r="35" spans="1:5" x14ac:dyDescent="0.3">
      <c r="A35" s="54">
        <v>43875</v>
      </c>
      <c r="B35" s="45">
        <v>14956.99</v>
      </c>
      <c r="C35" s="19">
        <f t="shared" si="0"/>
        <v>43890</v>
      </c>
      <c r="D35" s="43">
        <v>44865</v>
      </c>
      <c r="E35" s="45">
        <f t="array" ref="E35">LOOKUP(2,1/($C$2:$C$2000=D35),$B$2:$B$2000)</f>
        <v>23919.759999999998</v>
      </c>
    </row>
    <row r="36" spans="1:5" x14ac:dyDescent="0.3">
      <c r="A36" s="54">
        <v>43878</v>
      </c>
      <c r="B36" s="45">
        <v>14855.22</v>
      </c>
      <c r="C36" s="19">
        <f t="shared" si="0"/>
        <v>43890</v>
      </c>
      <c r="D36" s="43">
        <v>44895</v>
      </c>
      <c r="E36" s="45">
        <f t="array" ref="E36">LOOKUP(2,1/($C$2:$C$2000=D36),$B$2:$B$2000)</f>
        <v>24738.49</v>
      </c>
    </row>
    <row r="37" spans="1:5" x14ac:dyDescent="0.3">
      <c r="A37" s="54">
        <v>43879</v>
      </c>
      <c r="B37" s="45">
        <v>14789.34</v>
      </c>
      <c r="C37" s="19">
        <f t="shared" si="0"/>
        <v>43890</v>
      </c>
      <c r="D37" s="43">
        <v>44926</v>
      </c>
      <c r="E37" s="45">
        <f t="array" ref="E37">LOOKUP(2,1/($C$2:$C$2000=D37),$B$2:$B$2000)</f>
        <v>23967.119999999999</v>
      </c>
    </row>
    <row r="38" spans="1:5" x14ac:dyDescent="0.3">
      <c r="A38" s="54">
        <v>43880</v>
      </c>
      <c r="B38" s="45">
        <v>14977.03</v>
      </c>
      <c r="C38" s="19">
        <f t="shared" si="0"/>
        <v>43890</v>
      </c>
      <c r="D38" s="43">
        <v>44957</v>
      </c>
      <c r="E38" s="45">
        <f t="array" ref="E38">LOOKUP(2,1/($C$2:$C$2000=D38),$B$2:$B$2000)</f>
        <v>23175.05</v>
      </c>
    </row>
    <row r="39" spans="1:5" x14ac:dyDescent="0.3">
      <c r="A39" s="54">
        <v>43881</v>
      </c>
      <c r="B39" s="45">
        <v>14959.29</v>
      </c>
      <c r="C39" s="19">
        <f t="shared" si="0"/>
        <v>43890</v>
      </c>
      <c r="D39" s="43">
        <v>44985</v>
      </c>
      <c r="E39" s="45">
        <f t="array" ref="E39">LOOKUP(2,1/($C$2:$C$2000=D39),$B$2:$B$2000)</f>
        <v>22546.35</v>
      </c>
    </row>
    <row r="40" spans="1:5" x14ac:dyDescent="0.3">
      <c r="A40" s="54">
        <v>43885</v>
      </c>
      <c r="B40" s="45">
        <v>14659.13</v>
      </c>
      <c r="C40" s="19">
        <f t="shared" si="0"/>
        <v>43890</v>
      </c>
      <c r="D40" s="43">
        <v>45016</v>
      </c>
      <c r="E40" s="45">
        <f t="array" ref="E40">LOOKUP(2,1/($C$2:$C$2000=D40),$B$2:$B$2000)</f>
        <v>22609.54</v>
      </c>
    </row>
    <row r="41" spans="1:5" x14ac:dyDescent="0.3">
      <c r="A41" s="54">
        <v>43886</v>
      </c>
      <c r="B41" s="45">
        <v>14609.32</v>
      </c>
      <c r="C41" s="19">
        <f t="shared" si="0"/>
        <v>43890</v>
      </c>
      <c r="D41" s="43">
        <v>45046</v>
      </c>
      <c r="E41" s="45">
        <f t="array" ref="E41">LOOKUP(2,1/($C$2:$C$2000=D41),$B$2:$B$2000)</f>
        <v>23643.94</v>
      </c>
    </row>
    <row r="42" spans="1:5" x14ac:dyDescent="0.3">
      <c r="A42" s="54">
        <v>43887</v>
      </c>
      <c r="B42" s="45">
        <v>14959.29</v>
      </c>
      <c r="C42" s="19">
        <f t="shared" si="0"/>
        <v>43890</v>
      </c>
      <c r="D42" s="43">
        <v>45077</v>
      </c>
      <c r="E42" s="45">
        <f t="array" ref="E42">LOOKUP(2,1/($C$2:$C$2000=D42),$B$2:$B$2000)</f>
        <v>24538.09</v>
      </c>
    </row>
    <row r="43" spans="1:5" x14ac:dyDescent="0.3">
      <c r="A43" s="54">
        <v>43888</v>
      </c>
      <c r="B43" s="45">
        <v>14391.08</v>
      </c>
      <c r="C43" s="19">
        <f t="shared" si="0"/>
        <v>43890</v>
      </c>
      <c r="D43" s="43">
        <v>45107</v>
      </c>
      <c r="E43" s="45">
        <f t="array" ref="E43">LOOKUP(2,1/($C$2:$C$2000=D43),$B$2:$B$2000)</f>
        <v>25605.81</v>
      </c>
    </row>
    <row r="44" spans="1:5" x14ac:dyDescent="0.3">
      <c r="A44" s="54">
        <v>43889</v>
      </c>
      <c r="B44" s="45">
        <v>13875.34</v>
      </c>
      <c r="C44" s="19">
        <f t="shared" si="0"/>
        <v>43890</v>
      </c>
      <c r="D44" s="43">
        <v>45138</v>
      </c>
      <c r="E44" s="45">
        <f t="array" ref="E44">LOOKUP(2,1/($C$2:$C$2000=D44),$B$2:$B$2000)</f>
        <v>26612.52</v>
      </c>
    </row>
    <row r="45" spans="1:5" x14ac:dyDescent="0.3">
      <c r="A45" s="54">
        <v>43892</v>
      </c>
      <c r="B45" s="45">
        <v>13790.7</v>
      </c>
      <c r="C45" s="19">
        <f t="shared" si="0"/>
        <v>43921</v>
      </c>
      <c r="D45" s="43">
        <v>45169</v>
      </c>
      <c r="E45" s="45">
        <f t="array" ref="E45">LOOKUP(2,1/($C$2:$C$2000=D45),$B$2:$B$2000)</f>
        <v>26451.77</v>
      </c>
    </row>
    <row r="46" spans="1:5" x14ac:dyDescent="0.3">
      <c r="A46" s="54">
        <v>43893</v>
      </c>
      <c r="B46" s="45">
        <v>14014.65</v>
      </c>
      <c r="C46" s="19">
        <f t="shared" si="0"/>
        <v>43921</v>
      </c>
      <c r="D46" s="43">
        <v>45199</v>
      </c>
      <c r="E46" s="45">
        <f t="array" ref="E46">LOOKUP(2,1/($C$2:$C$2000=D46),$B$2:$B$2000)</f>
        <v>27031.74</v>
      </c>
    </row>
    <row r="47" spans="1:5" x14ac:dyDescent="0.3">
      <c r="A47" s="54">
        <v>43894</v>
      </c>
      <c r="B47" s="45">
        <v>13915.97</v>
      </c>
      <c r="C47" s="19">
        <f t="shared" si="0"/>
        <v>43921</v>
      </c>
      <c r="D47" s="43">
        <v>45230</v>
      </c>
      <c r="E47" s="45">
        <f t="array" ref="E47">LOOKUP(2,1/($C$2:$C$2000=D47),$B$2:$B$2000)</f>
        <v>26281.759999999998</v>
      </c>
    </row>
    <row r="48" spans="1:5" x14ac:dyDescent="0.3">
      <c r="A48" s="54">
        <v>43895</v>
      </c>
      <c r="B48" s="45">
        <v>13950.63</v>
      </c>
      <c r="C48" s="19">
        <f t="shared" si="0"/>
        <v>43921</v>
      </c>
      <c r="D48" s="43">
        <v>45260</v>
      </c>
      <c r="E48" s="45">
        <f t="array" ref="E48">LOOKUP(2,1/($C$2:$C$2000=D48),$B$2:$B$2000)</f>
        <v>28161.16</v>
      </c>
    </row>
    <row r="49" spans="1:5" x14ac:dyDescent="0.3">
      <c r="A49" s="54">
        <v>43896</v>
      </c>
      <c r="B49" s="45">
        <v>13620.08</v>
      </c>
      <c r="C49" s="19">
        <f t="shared" si="0"/>
        <v>43921</v>
      </c>
      <c r="D49" s="43">
        <v>45291</v>
      </c>
      <c r="E49" s="45">
        <f t="array" ref="E49">LOOKUP(2,1/($C$2:$C$2000=D49),$B$2:$B$2000)</f>
        <v>30417.8</v>
      </c>
    </row>
    <row r="50" spans="1:5" x14ac:dyDescent="0.3">
      <c r="A50" s="54">
        <v>43899</v>
      </c>
      <c r="B50" s="45">
        <v>12976.14</v>
      </c>
      <c r="C50" s="19">
        <f t="shared" si="0"/>
        <v>43921</v>
      </c>
      <c r="D50" s="43">
        <v>45322</v>
      </c>
      <c r="E50" s="45">
        <f t="array" ref="E50">LOOKUP(2,1/($C$2:$C$2000=D50),$B$2:$B$2000)</f>
        <v>31011.17</v>
      </c>
    </row>
    <row r="51" spans="1:5" x14ac:dyDescent="0.3">
      <c r="A51" s="54">
        <v>43901</v>
      </c>
      <c r="B51" s="45">
        <v>12956.35</v>
      </c>
      <c r="C51" s="19">
        <f t="shared" si="0"/>
        <v>43921</v>
      </c>
      <c r="D51" s="43">
        <v>45351</v>
      </c>
      <c r="E51" s="45">
        <f t="array" ref="E51">LOOKUP(2,1/($C$2:$C$2000=D51),$B$2:$B$2000)</f>
        <v>31499.31</v>
      </c>
    </row>
    <row r="52" spans="1:5" x14ac:dyDescent="0.3">
      <c r="A52" s="54">
        <v>43902</v>
      </c>
      <c r="B52" s="45">
        <v>11879.69</v>
      </c>
      <c r="C52" s="19">
        <f t="shared" si="0"/>
        <v>43921</v>
      </c>
      <c r="D52" s="43">
        <v>45382</v>
      </c>
      <c r="E52" s="45">
        <f t="array" ref="E52">LOOKUP(2,1/($C$2:$C$2000=D52),$B$2:$B$2000)</f>
        <v>31499.32</v>
      </c>
    </row>
    <row r="53" spans="1:5" x14ac:dyDescent="0.3">
      <c r="A53" s="54">
        <v>43903</v>
      </c>
      <c r="B53" s="45">
        <v>12273.34</v>
      </c>
      <c r="C53" s="19">
        <f t="shared" si="0"/>
        <v>43921</v>
      </c>
      <c r="D53" s="43">
        <v>45412</v>
      </c>
      <c r="E53" s="45">
        <f t="array" ref="E53">LOOKUP(2,1/($C$2:$C$2000=D53),$B$2:$B$2000)</f>
        <v>32927.379999999997</v>
      </c>
    </row>
    <row r="54" spans="1:5" x14ac:dyDescent="0.3">
      <c r="A54" s="54">
        <v>43906</v>
      </c>
      <c r="B54" s="45">
        <v>11418.53</v>
      </c>
      <c r="C54" s="19">
        <f t="shared" si="0"/>
        <v>43921</v>
      </c>
      <c r="D54" s="43">
        <v>45443</v>
      </c>
      <c r="E54" s="45">
        <f t="array" ref="E54">LOOKUP(2,1/($C$2:$C$2000=D54),$B$2:$B$2000)</f>
        <v>33168.199999999997</v>
      </c>
    </row>
    <row r="55" spans="1:5" x14ac:dyDescent="0.3">
      <c r="A55" s="54">
        <v>43907</v>
      </c>
      <c r="B55" s="45">
        <v>11156.98</v>
      </c>
      <c r="C55" s="19">
        <f t="shared" si="0"/>
        <v>43921</v>
      </c>
      <c r="D55" s="43">
        <v>45473</v>
      </c>
      <c r="E55" s="45">
        <f t="array" ref="E55">LOOKUP(2,1/($C$2:$C$2000=D55),$B$2:$B$2000)</f>
        <v>35506.97</v>
      </c>
    </row>
    <row r="56" spans="1:5" x14ac:dyDescent="0.3">
      <c r="A56" s="54">
        <v>43908</v>
      </c>
      <c r="B56" s="45">
        <v>10545.38</v>
      </c>
      <c r="C56" s="19">
        <f t="shared" si="0"/>
        <v>43921</v>
      </c>
      <c r="D56" s="43">
        <v>45504</v>
      </c>
      <c r="E56" s="45">
        <f t="array" ref="E56">LOOKUP(2,1/($C$2:$C$2000=D56),$B$2:$B$2000)</f>
        <v>37066.080000000002</v>
      </c>
    </row>
    <row r="57" spans="1:5" x14ac:dyDescent="0.3">
      <c r="A57" s="54">
        <v>43909</v>
      </c>
      <c r="B57" s="45">
        <v>10243.870000000001</v>
      </c>
      <c r="C57" s="19">
        <f t="shared" si="0"/>
        <v>43921</v>
      </c>
      <c r="D57" s="43">
        <v>45535</v>
      </c>
      <c r="E57" s="45">
        <f t="array" ref="E57">LOOKUP(2,1/($C$2:$C$2000=D57),$B$2:$B$2000)</f>
        <v>37449.919999999998</v>
      </c>
    </row>
    <row r="58" spans="1:5" x14ac:dyDescent="0.3">
      <c r="A58" s="54">
        <v>43910</v>
      </c>
      <c r="B58" s="45">
        <v>10774.99</v>
      </c>
      <c r="C58" s="19">
        <f t="shared" si="0"/>
        <v>43921</v>
      </c>
      <c r="D58" s="43">
        <v>45565</v>
      </c>
      <c r="E58" s="45">
        <f t="array" ref="E58">LOOKUP(2,1/($C$2:$C$2000=D58),$B$2:$B$2000)</f>
        <v>38261.39</v>
      </c>
    </row>
    <row r="59" spans="1:5" x14ac:dyDescent="0.3">
      <c r="A59" s="54">
        <v>43913</v>
      </c>
      <c r="B59" s="45">
        <v>9400.9599999999991</v>
      </c>
      <c r="C59" s="19">
        <f t="shared" si="0"/>
        <v>43921</v>
      </c>
      <c r="D59" s="43">
        <v>45596</v>
      </c>
      <c r="E59" s="45">
        <f t="array" ref="E59">LOOKUP(2,1/($C$2:$C$2000=D59),$B$2:$B$2000)</f>
        <v>35830.980000000003</v>
      </c>
    </row>
    <row r="60" spans="1:5" x14ac:dyDescent="0.3">
      <c r="A60" s="54">
        <v>43914</v>
      </c>
      <c r="B60" s="45">
        <v>9588.01</v>
      </c>
      <c r="C60" s="19">
        <f t="shared" si="0"/>
        <v>43921</v>
      </c>
      <c r="D60" s="43">
        <v>45626</v>
      </c>
      <c r="E60" s="45">
        <f t="array" ref="E60">LOOKUP(2,1/($C$2:$C$2000=D60),$B$2:$B$2000)</f>
        <v>35847.4</v>
      </c>
    </row>
    <row r="61" spans="1:5" x14ac:dyDescent="0.3">
      <c r="A61" s="54">
        <v>43915</v>
      </c>
      <c r="B61" s="45">
        <v>10128.06</v>
      </c>
      <c r="C61" s="19">
        <f t="shared" si="0"/>
        <v>43921</v>
      </c>
      <c r="D61" s="43">
        <v>45657</v>
      </c>
      <c r="E61" s="45">
        <f t="array" ref="E61">LOOKUP(2,1/($C$2:$C$2000=D61),$B$2:$B$2000)</f>
        <v>35357.9</v>
      </c>
    </row>
    <row r="62" spans="1:5" x14ac:dyDescent="0.3">
      <c r="A62" s="54">
        <v>43916</v>
      </c>
      <c r="B62" s="45">
        <v>10535.69</v>
      </c>
      <c r="C62" s="19">
        <f t="shared" si="0"/>
        <v>43921</v>
      </c>
      <c r="D62" s="43">
        <v>45688</v>
      </c>
      <c r="E62" s="45">
        <f t="array" ref="E62">LOOKUP(2,1/($C$2:$C$2000=D62),$B$2:$B$2000)</f>
        <v>34130.93</v>
      </c>
    </row>
    <row r="63" spans="1:5" x14ac:dyDescent="0.3">
      <c r="A63" s="54">
        <v>43917</v>
      </c>
      <c r="B63" s="45">
        <v>10550.2</v>
      </c>
      <c r="C63" s="19">
        <f t="shared" si="0"/>
        <v>43921</v>
      </c>
      <c r="D63" s="43">
        <v>45716</v>
      </c>
      <c r="E63" s="45">
        <f t="array" ref="E63">LOOKUP(2,1/($C$2:$C$2000=D63),$B$2:$B$2000)</f>
        <v>31473.37</v>
      </c>
    </row>
    <row r="64" spans="1:5" x14ac:dyDescent="0.3">
      <c r="A64" s="54">
        <v>43920</v>
      </c>
      <c r="B64" s="45">
        <v>10167.459999999999</v>
      </c>
      <c r="C64" s="19">
        <f t="shared" si="0"/>
        <v>43921</v>
      </c>
      <c r="D64" s="43">
        <v>45747</v>
      </c>
      <c r="E64" s="45">
        <f t="array" ref="E64">LOOKUP(2,1/($C$2:$C$2000=D64),$B$2:$B$2000)</f>
        <v>33787.56</v>
      </c>
    </row>
    <row r="65" spans="1:5" x14ac:dyDescent="0.3">
      <c r="A65" s="54">
        <v>43922</v>
      </c>
      <c r="B65" s="45">
        <v>10186.74</v>
      </c>
      <c r="C65" s="19">
        <f t="shared" si="0"/>
        <v>43951</v>
      </c>
      <c r="D65" s="43">
        <v>45777</v>
      </c>
      <c r="E65" s="45">
        <f t="array" ref="E65">LOOKUP(2,1/($C$2:$C$2000=D65),$B$2:$B$2000)</f>
        <v>34886.080000000002</v>
      </c>
    </row>
    <row r="66" spans="1:5" x14ac:dyDescent="0.3">
      <c r="A66" s="54">
        <v>43924</v>
      </c>
      <c r="B66" s="45">
        <v>10000.86</v>
      </c>
      <c r="C66" s="19">
        <f t="shared" ref="C66:C129" si="1">EOMONTH(A66,0)</f>
        <v>43951</v>
      </c>
      <c r="D66" s="43">
        <v>45808</v>
      </c>
      <c r="E66" s="45">
        <f t="array" ref="E66">LOOKUP(2,1/($C$2:$C$2000=D66),$B$2:$B$2000)</f>
        <v>36160.26</v>
      </c>
    </row>
    <row r="67" spans="1:5" x14ac:dyDescent="0.3">
      <c r="A67" s="54">
        <v>43928</v>
      </c>
      <c r="B67" s="45">
        <v>10770.05</v>
      </c>
      <c r="C67" s="19">
        <f t="shared" si="1"/>
        <v>43951</v>
      </c>
      <c r="D67" s="43">
        <v>45838</v>
      </c>
      <c r="E67" s="45">
        <f t="array" ref="E67">LOOKUP(2,1/($C$2:$C$2000=D67),$B$2:$B$2000)</f>
        <v>37522.379999999997</v>
      </c>
    </row>
    <row r="68" spans="1:5" x14ac:dyDescent="0.3">
      <c r="A68" s="54">
        <v>43929</v>
      </c>
      <c r="B68" s="45">
        <v>10788.81</v>
      </c>
      <c r="C68" s="19">
        <f t="shared" si="1"/>
        <v>43951</v>
      </c>
      <c r="D68" s="43">
        <v>45869</v>
      </c>
      <c r="E68" s="45">
        <f t="array" ref="E68">LOOKUP(2,1/($C$2:$C$2000=D68),$B$2:$B$2000)</f>
        <v>36461.71</v>
      </c>
    </row>
    <row r="69" spans="1:5" x14ac:dyDescent="0.3">
      <c r="A69" s="54">
        <v>43930</v>
      </c>
      <c r="B69" s="45">
        <v>11210.95</v>
      </c>
      <c r="C69" s="19">
        <f t="shared" si="1"/>
        <v>43951</v>
      </c>
      <c r="D69" s="43">
        <v>45900</v>
      </c>
      <c r="E69" s="45">
        <f t="array" ref="E69">LOOKUP(2,1/($C$2:$C$2000=D69),$B$2:$B$2000)</f>
        <v>35799.379999999997</v>
      </c>
    </row>
    <row r="70" spans="1:5" x14ac:dyDescent="0.3">
      <c r="A70" s="54">
        <v>43934</v>
      </c>
      <c r="B70" s="45">
        <v>11088.47</v>
      </c>
      <c r="C70" s="19">
        <f t="shared" si="1"/>
        <v>43951</v>
      </c>
      <c r="D70" s="43">
        <v>45930</v>
      </c>
      <c r="E70" s="45">
        <f t="array" ref="E70">LOOKUP(2,1/($C$2:$C$2000=D70),$B$2:$B$2000)</f>
        <v>36248.22</v>
      </c>
    </row>
    <row r="71" spans="1:5" x14ac:dyDescent="0.3">
      <c r="A71" s="54">
        <v>43936</v>
      </c>
      <c r="B71" s="45">
        <v>11064.34</v>
      </c>
      <c r="C71" s="19">
        <f t="shared" si="1"/>
        <v>43951</v>
      </c>
      <c r="D71" s="43">
        <v>45961</v>
      </c>
      <c r="E71" s="45">
        <f t="array" ref="E71">LOOKUP(2,1/($C$2:$C$2000=D71),$B$2:$B$2000)</f>
        <v>37822.449999999997</v>
      </c>
    </row>
    <row r="72" spans="1:5" x14ac:dyDescent="0.3">
      <c r="A72" s="54">
        <v>43937</v>
      </c>
      <c r="B72" s="45">
        <v>11166.67</v>
      </c>
      <c r="C72" s="19">
        <f t="shared" si="1"/>
        <v>43951</v>
      </c>
      <c r="D72" s="43">
        <v>45991</v>
      </c>
      <c r="E72" s="45">
        <f t="array" ref="E72">LOOKUP(2,1/($C$2:$C$2000=D72),$B$2:$B$2000)</f>
        <v>37794.11</v>
      </c>
    </row>
    <row r="73" spans="1:5" x14ac:dyDescent="0.3">
      <c r="A73" s="54">
        <v>43938</v>
      </c>
      <c r="B73" s="45">
        <v>11471.14</v>
      </c>
      <c r="C73" s="19">
        <f t="shared" si="1"/>
        <v>43951</v>
      </c>
      <c r="D73" s="43">
        <v>0</v>
      </c>
      <c r="E73" s="45"/>
    </row>
    <row r="74" spans="1:5" x14ac:dyDescent="0.3">
      <c r="A74" s="54">
        <v>43941</v>
      </c>
      <c r="B74" s="45">
        <v>11471.44</v>
      </c>
      <c r="C74" s="19">
        <f t="shared" si="1"/>
        <v>43951</v>
      </c>
      <c r="D74" s="43"/>
      <c r="E74" s="45"/>
    </row>
    <row r="75" spans="1:5" x14ac:dyDescent="0.3">
      <c r="A75" s="54">
        <v>43942</v>
      </c>
      <c r="B75" s="45">
        <v>11141.94</v>
      </c>
      <c r="C75" s="19">
        <f t="shared" si="1"/>
        <v>43951</v>
      </c>
      <c r="D75" s="43"/>
      <c r="E75" s="45"/>
    </row>
    <row r="76" spans="1:5" x14ac:dyDescent="0.3">
      <c r="A76" s="54">
        <v>43943</v>
      </c>
      <c r="B76" s="45">
        <v>11349.73</v>
      </c>
      <c r="C76" s="19">
        <f t="shared" si="1"/>
        <v>43951</v>
      </c>
      <c r="D76" s="43"/>
      <c r="E76" s="45"/>
    </row>
    <row r="77" spans="1:5" x14ac:dyDescent="0.3">
      <c r="A77" s="54">
        <v>43944</v>
      </c>
      <c r="B77" s="45">
        <v>11487.6</v>
      </c>
      <c r="C77" s="19">
        <f t="shared" si="1"/>
        <v>43951</v>
      </c>
      <c r="D77" s="43"/>
      <c r="E77" s="45"/>
    </row>
    <row r="78" spans="1:5" x14ac:dyDescent="0.3">
      <c r="A78" s="54">
        <v>43945</v>
      </c>
      <c r="B78" s="45">
        <v>11288.98</v>
      </c>
      <c r="C78" s="19">
        <f t="shared" si="1"/>
        <v>43951</v>
      </c>
      <c r="D78" s="43"/>
      <c r="E78" s="45"/>
    </row>
    <row r="79" spans="1:5" x14ac:dyDescent="0.3">
      <c r="A79" s="54">
        <v>43948</v>
      </c>
      <c r="B79" s="45">
        <v>11455.42</v>
      </c>
      <c r="C79" s="19">
        <f t="shared" si="1"/>
        <v>43951</v>
      </c>
      <c r="D79" s="43"/>
      <c r="E79" s="45"/>
    </row>
    <row r="80" spans="1:5" x14ac:dyDescent="0.3">
      <c r="A80" s="54">
        <v>43949</v>
      </c>
      <c r="B80" s="45">
        <v>11558.67</v>
      </c>
      <c r="C80" s="19">
        <f t="shared" si="1"/>
        <v>43951</v>
      </c>
      <c r="D80" s="43"/>
      <c r="E80" s="45"/>
    </row>
    <row r="81" spans="1:5" x14ac:dyDescent="0.3">
      <c r="A81" s="54">
        <v>43950</v>
      </c>
      <c r="B81" s="45">
        <v>11747.42</v>
      </c>
      <c r="C81" s="19">
        <f t="shared" si="1"/>
        <v>43951</v>
      </c>
      <c r="D81" s="43"/>
      <c r="E81" s="45"/>
    </row>
    <row r="82" spans="1:5" x14ac:dyDescent="0.3">
      <c r="A82" s="54">
        <v>43951</v>
      </c>
      <c r="B82" s="45">
        <v>12072.43</v>
      </c>
      <c r="C82" s="19">
        <f t="shared" si="1"/>
        <v>43951</v>
      </c>
      <c r="D82" s="43"/>
      <c r="E82" s="45"/>
    </row>
    <row r="83" spans="1:5" x14ac:dyDescent="0.3">
      <c r="A83" s="54">
        <v>43955</v>
      </c>
      <c r="B83" s="45">
        <v>11445.71</v>
      </c>
      <c r="C83" s="19">
        <f t="shared" si="1"/>
        <v>43982</v>
      </c>
      <c r="D83" s="43"/>
      <c r="E83" s="45"/>
    </row>
    <row r="84" spans="1:5" x14ac:dyDescent="0.3">
      <c r="A84" s="54">
        <v>43956</v>
      </c>
      <c r="B84" s="45">
        <v>11335.14</v>
      </c>
      <c r="C84" s="19">
        <f t="shared" si="1"/>
        <v>43982</v>
      </c>
      <c r="D84" s="43"/>
      <c r="E84" s="45"/>
    </row>
    <row r="85" spans="1:5" x14ac:dyDescent="0.3">
      <c r="A85" s="54">
        <v>43957</v>
      </c>
      <c r="B85" s="45">
        <v>11414.15</v>
      </c>
      <c r="C85" s="19">
        <f t="shared" si="1"/>
        <v>43982</v>
      </c>
      <c r="D85" s="43"/>
      <c r="E85" s="45"/>
    </row>
    <row r="86" spans="1:5" x14ac:dyDescent="0.3">
      <c r="A86" s="54">
        <v>43958</v>
      </c>
      <c r="B86" s="45">
        <v>11331.86</v>
      </c>
      <c r="C86" s="19">
        <f t="shared" si="1"/>
        <v>43982</v>
      </c>
      <c r="D86" s="43"/>
      <c r="E86" s="45"/>
    </row>
    <row r="87" spans="1:5" x14ac:dyDescent="0.3">
      <c r="A87" s="54">
        <v>43959</v>
      </c>
      <c r="B87" s="45">
        <v>11378.76</v>
      </c>
      <c r="C87" s="19">
        <f t="shared" si="1"/>
        <v>43982</v>
      </c>
      <c r="D87" s="43"/>
      <c r="E87" s="45"/>
    </row>
    <row r="88" spans="1:5" x14ac:dyDescent="0.3">
      <c r="A88" s="54">
        <v>43962</v>
      </c>
      <c r="B88" s="45">
        <v>11385.39</v>
      </c>
      <c r="C88" s="19">
        <f t="shared" si="1"/>
        <v>43982</v>
      </c>
      <c r="D88" s="43"/>
      <c r="E88" s="45"/>
    </row>
    <row r="89" spans="1:5" x14ac:dyDescent="0.3">
      <c r="A89" s="54">
        <v>43963</v>
      </c>
      <c r="B89" s="45">
        <v>11331.93</v>
      </c>
      <c r="C89" s="19">
        <f t="shared" si="1"/>
        <v>43982</v>
      </c>
      <c r="D89" s="43"/>
      <c r="E89" s="45"/>
    </row>
    <row r="90" spans="1:5" x14ac:dyDescent="0.3">
      <c r="A90" s="54">
        <v>43964</v>
      </c>
      <c r="B90" s="45">
        <v>11551.54</v>
      </c>
      <c r="C90" s="19">
        <f t="shared" si="1"/>
        <v>43982</v>
      </c>
      <c r="D90" s="43"/>
      <c r="E90" s="45"/>
    </row>
    <row r="91" spans="1:5" x14ac:dyDescent="0.3">
      <c r="A91" s="54">
        <v>43965</v>
      </c>
      <c r="B91" s="45">
        <v>11321.91</v>
      </c>
      <c r="C91" s="19">
        <f t="shared" si="1"/>
        <v>43982</v>
      </c>
      <c r="D91" s="43"/>
      <c r="E91" s="45"/>
    </row>
    <row r="92" spans="1:5" x14ac:dyDescent="0.3">
      <c r="A92" s="54">
        <v>43966</v>
      </c>
      <c r="B92" s="45">
        <v>11306.13</v>
      </c>
      <c r="C92" s="19">
        <f t="shared" si="1"/>
        <v>43982</v>
      </c>
      <c r="D92" s="43"/>
      <c r="E92" s="45"/>
    </row>
    <row r="93" spans="1:5" x14ac:dyDescent="0.3">
      <c r="A93" s="54">
        <v>43969</v>
      </c>
      <c r="B93" s="45">
        <v>10916.21</v>
      </c>
      <c r="C93" s="19">
        <f t="shared" si="1"/>
        <v>43982</v>
      </c>
      <c r="D93" s="43"/>
      <c r="E93" s="45"/>
    </row>
    <row r="94" spans="1:5" x14ac:dyDescent="0.3">
      <c r="A94" s="54">
        <v>43970</v>
      </c>
      <c r="B94" s="45">
        <v>10975.77</v>
      </c>
      <c r="C94" s="19">
        <f t="shared" si="1"/>
        <v>43982</v>
      </c>
      <c r="D94" s="43"/>
      <c r="E94" s="45"/>
    </row>
    <row r="95" spans="1:5" x14ac:dyDescent="0.3">
      <c r="A95" s="54">
        <v>43971</v>
      </c>
      <c r="B95" s="45">
        <v>11190.26</v>
      </c>
      <c r="C95" s="19">
        <f t="shared" si="1"/>
        <v>43982</v>
      </c>
      <c r="D95" s="43"/>
      <c r="E95" s="45"/>
    </row>
    <row r="96" spans="1:5" x14ac:dyDescent="0.3">
      <c r="A96" s="54">
        <v>43972</v>
      </c>
      <c r="B96" s="45">
        <v>11256.18</v>
      </c>
      <c r="C96" s="19">
        <f t="shared" si="1"/>
        <v>43982</v>
      </c>
      <c r="D96" s="43"/>
      <c r="E96" s="45"/>
    </row>
    <row r="97" spans="1:5" x14ac:dyDescent="0.3">
      <c r="A97" s="54">
        <v>43973</v>
      </c>
      <c r="B97" s="45">
        <v>11173.94</v>
      </c>
      <c r="C97" s="19">
        <f t="shared" si="1"/>
        <v>43982</v>
      </c>
      <c r="D97" s="43"/>
      <c r="E97" s="45"/>
    </row>
    <row r="98" spans="1:5" x14ac:dyDescent="0.3">
      <c r="A98" s="54">
        <v>43977</v>
      </c>
      <c r="B98" s="45">
        <v>11186.72</v>
      </c>
      <c r="C98" s="19">
        <f t="shared" si="1"/>
        <v>43982</v>
      </c>
      <c r="D98" s="43"/>
      <c r="E98" s="45"/>
    </row>
    <row r="99" spans="1:5" x14ac:dyDescent="0.3">
      <c r="A99" s="54">
        <v>43978</v>
      </c>
      <c r="B99" s="45">
        <v>11444.46</v>
      </c>
      <c r="C99" s="19">
        <f t="shared" si="1"/>
        <v>43982</v>
      </c>
      <c r="D99" s="43"/>
      <c r="E99" s="45"/>
    </row>
    <row r="100" spans="1:5" x14ac:dyDescent="0.3">
      <c r="A100" s="54">
        <v>43979</v>
      </c>
      <c r="B100" s="45">
        <v>11650.41</v>
      </c>
      <c r="C100" s="19">
        <f t="shared" si="1"/>
        <v>43982</v>
      </c>
      <c r="D100" s="43"/>
      <c r="E100" s="45"/>
    </row>
    <row r="101" spans="1:5" x14ac:dyDescent="0.3">
      <c r="A101" s="54">
        <v>43980</v>
      </c>
      <c r="B101" s="45">
        <v>11793.53</v>
      </c>
      <c r="C101" s="19">
        <f t="shared" si="1"/>
        <v>43982</v>
      </c>
      <c r="D101" s="43"/>
      <c r="E101" s="45"/>
    </row>
    <row r="102" spans="1:5" x14ac:dyDescent="0.3">
      <c r="A102" s="54">
        <v>43983</v>
      </c>
      <c r="B102" s="45">
        <v>12092.03</v>
      </c>
      <c r="C102" s="19">
        <f t="shared" si="1"/>
        <v>44012</v>
      </c>
      <c r="D102" s="43"/>
      <c r="E102" s="45"/>
    </row>
    <row r="103" spans="1:5" x14ac:dyDescent="0.3">
      <c r="A103" s="54">
        <v>43984</v>
      </c>
      <c r="B103" s="45">
        <v>12268.95</v>
      </c>
      <c r="C103" s="19">
        <f t="shared" si="1"/>
        <v>44012</v>
      </c>
      <c r="D103" s="43"/>
      <c r="E103" s="45"/>
    </row>
    <row r="104" spans="1:5" x14ac:dyDescent="0.3">
      <c r="A104" s="54">
        <v>43985</v>
      </c>
      <c r="B104" s="45">
        <v>12369.15</v>
      </c>
      <c r="C104" s="19">
        <f t="shared" si="1"/>
        <v>44012</v>
      </c>
      <c r="D104" s="43"/>
      <c r="E104" s="45"/>
    </row>
    <row r="105" spans="1:5" x14ac:dyDescent="0.3">
      <c r="A105" s="54">
        <v>43986</v>
      </c>
      <c r="B105" s="45">
        <v>12343.37</v>
      </c>
      <c r="C105" s="19">
        <f t="shared" si="1"/>
        <v>44012</v>
      </c>
      <c r="D105" s="43"/>
      <c r="E105" s="45"/>
    </row>
    <row r="106" spans="1:5" x14ac:dyDescent="0.3">
      <c r="A106" s="54">
        <v>43987</v>
      </c>
      <c r="B106" s="45">
        <v>12514.41</v>
      </c>
      <c r="C106" s="19">
        <f t="shared" si="1"/>
        <v>44012</v>
      </c>
      <c r="D106" s="43"/>
      <c r="E106" s="45"/>
    </row>
    <row r="107" spans="1:5" x14ac:dyDescent="0.3">
      <c r="A107" s="54">
        <v>43990</v>
      </c>
      <c r="B107" s="45">
        <v>12551.5</v>
      </c>
      <c r="C107" s="19">
        <f t="shared" si="1"/>
        <v>44012</v>
      </c>
      <c r="D107" s="43"/>
      <c r="E107" s="45"/>
    </row>
    <row r="108" spans="1:5" x14ac:dyDescent="0.3">
      <c r="A108" s="54">
        <v>43991</v>
      </c>
      <c r="B108" s="45">
        <v>12422.12</v>
      </c>
      <c r="C108" s="19">
        <f t="shared" si="1"/>
        <v>44012</v>
      </c>
      <c r="D108" s="43"/>
      <c r="E108" s="45"/>
    </row>
    <row r="109" spans="1:5" x14ac:dyDescent="0.3">
      <c r="A109" s="54">
        <v>43992</v>
      </c>
      <c r="B109" s="45">
        <v>12505.4</v>
      </c>
      <c r="C109" s="19">
        <f t="shared" si="1"/>
        <v>44012</v>
      </c>
      <c r="D109" s="43"/>
      <c r="E109" s="45"/>
    </row>
    <row r="110" spans="1:5" x14ac:dyDescent="0.3">
      <c r="A110" s="54">
        <v>43993</v>
      </c>
      <c r="B110" s="45">
        <v>12270.08</v>
      </c>
      <c r="C110" s="19">
        <f t="shared" si="1"/>
        <v>44012</v>
      </c>
      <c r="D110" s="43"/>
      <c r="E110" s="45"/>
    </row>
    <row r="111" spans="1:5" x14ac:dyDescent="0.3">
      <c r="A111" s="54">
        <v>43994</v>
      </c>
      <c r="B111" s="45">
        <v>12359.8</v>
      </c>
      <c r="C111" s="19">
        <f t="shared" si="1"/>
        <v>44012</v>
      </c>
      <c r="D111" s="43"/>
      <c r="E111" s="45"/>
    </row>
    <row r="112" spans="1:5" x14ac:dyDescent="0.3">
      <c r="A112" s="54">
        <v>43997</v>
      </c>
      <c r="B112" s="45">
        <v>12193.99</v>
      </c>
      <c r="C112" s="19">
        <f t="shared" si="1"/>
        <v>44012</v>
      </c>
      <c r="D112" s="43"/>
      <c r="E112" s="45"/>
    </row>
    <row r="113" spans="1:5" x14ac:dyDescent="0.3">
      <c r="A113" s="54">
        <v>43998</v>
      </c>
      <c r="B113" s="45">
        <v>12293.24</v>
      </c>
      <c r="C113" s="19">
        <f t="shared" si="1"/>
        <v>44012</v>
      </c>
      <c r="D113" s="43"/>
      <c r="E113" s="45"/>
    </row>
    <row r="114" spans="1:5" x14ac:dyDescent="0.3">
      <c r="A114" s="54">
        <v>43999</v>
      </c>
      <c r="B114" s="45">
        <v>12275.42</v>
      </c>
      <c r="C114" s="19">
        <f t="shared" si="1"/>
        <v>44012</v>
      </c>
      <c r="D114" s="43"/>
      <c r="E114" s="45"/>
    </row>
    <row r="115" spans="1:5" x14ac:dyDescent="0.3">
      <c r="A115" s="54">
        <v>44000</v>
      </c>
      <c r="B115" s="45">
        <v>12491.6</v>
      </c>
      <c r="C115" s="19">
        <f t="shared" si="1"/>
        <v>44012</v>
      </c>
      <c r="D115" s="43"/>
      <c r="E115" s="45"/>
    </row>
    <row r="116" spans="1:5" x14ac:dyDescent="0.3">
      <c r="A116" s="54">
        <v>44001</v>
      </c>
      <c r="B116" s="45">
        <v>12674.39</v>
      </c>
      <c r="C116" s="19">
        <f t="shared" si="1"/>
        <v>44012</v>
      </c>
      <c r="D116" s="43"/>
      <c r="E116" s="45"/>
    </row>
    <row r="117" spans="1:5" x14ac:dyDescent="0.3">
      <c r="A117" s="54">
        <v>44004</v>
      </c>
      <c r="B117" s="45">
        <v>12799.59</v>
      </c>
      <c r="C117" s="19">
        <f t="shared" si="1"/>
        <v>44012</v>
      </c>
      <c r="D117" s="43"/>
      <c r="E117" s="45"/>
    </row>
    <row r="118" spans="1:5" x14ac:dyDescent="0.3">
      <c r="A118" s="54">
        <v>44005</v>
      </c>
      <c r="B118" s="45">
        <v>13002.86</v>
      </c>
      <c r="C118" s="19">
        <f t="shared" si="1"/>
        <v>44012</v>
      </c>
      <c r="D118" s="43"/>
      <c r="E118" s="45"/>
    </row>
    <row r="119" spans="1:5" x14ac:dyDescent="0.3">
      <c r="A119" s="54">
        <v>44006</v>
      </c>
      <c r="B119" s="45">
        <v>12814.6</v>
      </c>
      <c r="C119" s="19">
        <f t="shared" si="1"/>
        <v>44012</v>
      </c>
      <c r="D119" s="43"/>
      <c r="E119" s="45"/>
    </row>
    <row r="120" spans="1:5" x14ac:dyDescent="0.3">
      <c r="A120" s="54">
        <v>44007</v>
      </c>
      <c r="B120" s="45">
        <v>12820.09</v>
      </c>
      <c r="C120" s="19">
        <f t="shared" si="1"/>
        <v>44012</v>
      </c>
      <c r="D120" s="43"/>
      <c r="E120" s="45"/>
    </row>
    <row r="121" spans="1:5" x14ac:dyDescent="0.3">
      <c r="A121" s="54">
        <v>44008</v>
      </c>
      <c r="B121" s="45">
        <v>12909.57</v>
      </c>
      <c r="C121" s="19">
        <f t="shared" si="1"/>
        <v>44012</v>
      </c>
      <c r="D121" s="43"/>
      <c r="E121" s="45"/>
    </row>
    <row r="122" spans="1:5" x14ac:dyDescent="0.3">
      <c r="A122" s="54">
        <v>44011</v>
      </c>
      <c r="B122" s="45">
        <v>12803.28</v>
      </c>
      <c r="C122" s="19">
        <f t="shared" si="1"/>
        <v>44012</v>
      </c>
      <c r="D122" s="43"/>
      <c r="E122" s="45"/>
    </row>
    <row r="123" spans="1:5" x14ac:dyDescent="0.3">
      <c r="A123" s="54">
        <v>44012</v>
      </c>
      <c r="B123" s="45">
        <v>12783.45</v>
      </c>
      <c r="C123" s="19">
        <f t="shared" si="1"/>
        <v>44012</v>
      </c>
      <c r="D123" s="43"/>
      <c r="E123" s="45"/>
    </row>
    <row r="124" spans="1:5" x14ac:dyDescent="0.3">
      <c r="A124" s="54">
        <v>44013</v>
      </c>
      <c r="B124" s="45">
        <v>12904.08</v>
      </c>
      <c r="C124" s="19">
        <f t="shared" si="1"/>
        <v>44043</v>
      </c>
      <c r="D124" s="43"/>
      <c r="E124" s="45"/>
    </row>
    <row r="125" spans="1:5" x14ac:dyDescent="0.3">
      <c r="A125" s="54">
        <v>44014</v>
      </c>
      <c r="B125" s="45">
        <v>13050.9</v>
      </c>
      <c r="C125" s="19">
        <f t="shared" si="1"/>
        <v>44043</v>
      </c>
      <c r="D125" s="43"/>
      <c r="E125" s="45"/>
    </row>
    <row r="126" spans="1:5" x14ac:dyDescent="0.3">
      <c r="A126" s="54">
        <v>44015</v>
      </c>
      <c r="B126" s="45">
        <v>13123.96</v>
      </c>
      <c r="C126" s="19">
        <f t="shared" si="1"/>
        <v>44043</v>
      </c>
      <c r="D126" s="43"/>
      <c r="E126" s="45"/>
    </row>
    <row r="127" spans="1:5" x14ac:dyDescent="0.3">
      <c r="A127" s="54">
        <v>44018</v>
      </c>
      <c r="B127" s="45">
        <v>13304.7</v>
      </c>
      <c r="C127" s="19">
        <f t="shared" si="1"/>
        <v>44043</v>
      </c>
      <c r="D127" s="43"/>
      <c r="E127" s="45"/>
    </row>
    <row r="128" spans="1:5" x14ac:dyDescent="0.3">
      <c r="A128" s="54">
        <v>44019</v>
      </c>
      <c r="B128" s="45">
        <v>13356.96</v>
      </c>
      <c r="C128" s="19">
        <f t="shared" si="1"/>
        <v>44043</v>
      </c>
      <c r="D128" s="43"/>
      <c r="E128" s="45"/>
    </row>
    <row r="129" spans="1:5" x14ac:dyDescent="0.3">
      <c r="A129" s="54">
        <v>44020</v>
      </c>
      <c r="B129" s="45">
        <v>13258.49</v>
      </c>
      <c r="C129" s="19">
        <f t="shared" si="1"/>
        <v>44043</v>
      </c>
      <c r="D129" s="43"/>
      <c r="E129" s="45"/>
    </row>
    <row r="130" spans="1:5" x14ac:dyDescent="0.3">
      <c r="A130" s="54">
        <v>44021</v>
      </c>
      <c r="B130" s="45">
        <v>13366.65</v>
      </c>
      <c r="C130" s="19">
        <f t="shared" ref="C130:C193" si="2">EOMONTH(A130,0)</f>
        <v>44043</v>
      </c>
      <c r="D130" s="43"/>
      <c r="E130" s="45"/>
    </row>
    <row r="131" spans="1:5" x14ac:dyDescent="0.3">
      <c r="A131" s="54">
        <v>44022</v>
      </c>
      <c r="B131" s="45">
        <v>13309.97</v>
      </c>
      <c r="C131" s="19">
        <f t="shared" si="2"/>
        <v>44043</v>
      </c>
      <c r="D131" s="43"/>
      <c r="E131" s="45"/>
    </row>
    <row r="132" spans="1:5" x14ac:dyDescent="0.3">
      <c r="A132" s="54">
        <v>44025</v>
      </c>
      <c r="B132" s="45">
        <v>13341.27</v>
      </c>
      <c r="C132" s="19">
        <f t="shared" si="2"/>
        <v>44043</v>
      </c>
      <c r="D132" s="43"/>
      <c r="E132" s="45"/>
    </row>
    <row r="133" spans="1:5" x14ac:dyDescent="0.3">
      <c r="A133" s="54">
        <v>44026</v>
      </c>
      <c r="B133" s="45">
        <v>13129.11</v>
      </c>
      <c r="C133" s="19">
        <f t="shared" si="2"/>
        <v>44043</v>
      </c>
      <c r="D133" s="43"/>
      <c r="E133" s="45"/>
    </row>
    <row r="134" spans="1:5" x14ac:dyDescent="0.3">
      <c r="A134" s="54">
        <v>44027</v>
      </c>
      <c r="B134" s="45">
        <v>13124.91</v>
      </c>
      <c r="C134" s="19">
        <f t="shared" si="2"/>
        <v>44043</v>
      </c>
      <c r="D134" s="43"/>
      <c r="E134" s="45"/>
    </row>
    <row r="135" spans="1:5" x14ac:dyDescent="0.3">
      <c r="A135" s="54">
        <v>44028</v>
      </c>
      <c r="B135" s="45">
        <v>13243.11</v>
      </c>
      <c r="C135" s="19">
        <f t="shared" si="2"/>
        <v>44043</v>
      </c>
      <c r="D135" s="43"/>
      <c r="E135" s="45"/>
    </row>
    <row r="136" spans="1:5" x14ac:dyDescent="0.3">
      <c r="A136" s="54">
        <v>44029</v>
      </c>
      <c r="B136" s="45">
        <v>13437.95</v>
      </c>
      <c r="C136" s="19">
        <f t="shared" si="2"/>
        <v>44043</v>
      </c>
      <c r="D136" s="43"/>
      <c r="E136" s="45"/>
    </row>
    <row r="137" spans="1:5" x14ac:dyDescent="0.3">
      <c r="A137" s="54">
        <v>44032</v>
      </c>
      <c r="B137" s="45">
        <v>13573.78</v>
      </c>
      <c r="C137" s="19">
        <f t="shared" si="2"/>
        <v>44043</v>
      </c>
      <c r="D137" s="43"/>
      <c r="E137" s="45"/>
    </row>
    <row r="138" spans="1:5" x14ac:dyDescent="0.3">
      <c r="A138" s="54">
        <v>44033</v>
      </c>
      <c r="B138" s="45">
        <v>13702.98</v>
      </c>
      <c r="C138" s="19">
        <f t="shared" si="2"/>
        <v>44043</v>
      </c>
      <c r="D138" s="43"/>
      <c r="E138" s="45"/>
    </row>
    <row r="139" spans="1:5" x14ac:dyDescent="0.3">
      <c r="A139" s="54">
        <v>44034</v>
      </c>
      <c r="B139" s="45">
        <v>13666.9</v>
      </c>
      <c r="C139" s="19">
        <f t="shared" si="2"/>
        <v>44043</v>
      </c>
      <c r="D139" s="43"/>
      <c r="E139" s="45"/>
    </row>
    <row r="140" spans="1:5" x14ac:dyDescent="0.3">
      <c r="A140" s="54">
        <v>44035</v>
      </c>
      <c r="B140" s="45">
        <v>13770.13</v>
      </c>
      <c r="C140" s="19">
        <f t="shared" si="2"/>
        <v>44043</v>
      </c>
      <c r="D140" s="43"/>
      <c r="E140" s="45"/>
    </row>
    <row r="141" spans="1:5" x14ac:dyDescent="0.3">
      <c r="A141" s="54">
        <v>44036</v>
      </c>
      <c r="B141" s="45">
        <v>13727.72</v>
      </c>
      <c r="C141" s="19">
        <f t="shared" si="2"/>
        <v>44043</v>
      </c>
      <c r="D141" s="43"/>
      <c r="E141" s="45"/>
    </row>
    <row r="142" spans="1:5" x14ac:dyDescent="0.3">
      <c r="A142" s="54">
        <v>44039</v>
      </c>
      <c r="B142" s="45">
        <v>13635.55</v>
      </c>
      <c r="C142" s="19">
        <f t="shared" si="2"/>
        <v>44043</v>
      </c>
      <c r="D142" s="43"/>
      <c r="E142" s="45"/>
    </row>
    <row r="143" spans="1:5" x14ac:dyDescent="0.3">
      <c r="A143" s="54">
        <v>44040</v>
      </c>
      <c r="B143" s="45">
        <v>13812.2</v>
      </c>
      <c r="C143" s="19">
        <f t="shared" si="2"/>
        <v>44043</v>
      </c>
      <c r="D143" s="43"/>
      <c r="E143" s="45"/>
    </row>
    <row r="144" spans="1:5" x14ac:dyDescent="0.3">
      <c r="A144" s="54">
        <v>44041</v>
      </c>
      <c r="B144" s="45">
        <v>13743.53</v>
      </c>
      <c r="C144" s="19">
        <f t="shared" si="2"/>
        <v>44043</v>
      </c>
      <c r="D144" s="43"/>
      <c r="E144" s="45"/>
    </row>
    <row r="145" spans="1:5" x14ac:dyDescent="0.3">
      <c r="A145" s="54">
        <v>44042</v>
      </c>
      <c r="B145" s="45">
        <v>13648.72</v>
      </c>
      <c r="C145" s="19">
        <f t="shared" si="2"/>
        <v>44043</v>
      </c>
      <c r="D145" s="43"/>
      <c r="E145" s="45"/>
    </row>
    <row r="146" spans="1:5" x14ac:dyDescent="0.3">
      <c r="A146" s="54">
        <v>44043</v>
      </c>
      <c r="B146" s="45">
        <v>13654.79</v>
      </c>
      <c r="C146" s="19">
        <f t="shared" si="2"/>
        <v>44043</v>
      </c>
      <c r="D146" s="43"/>
      <c r="E146" s="45"/>
    </row>
    <row r="147" spans="1:5" x14ac:dyDescent="0.3">
      <c r="A147" s="54">
        <v>44046</v>
      </c>
      <c r="B147" s="45">
        <v>13499.05</v>
      </c>
      <c r="C147" s="19">
        <f t="shared" si="2"/>
        <v>44074</v>
      </c>
      <c r="D147" s="43"/>
      <c r="E147" s="45"/>
    </row>
    <row r="148" spans="1:5" x14ac:dyDescent="0.3">
      <c r="A148" s="54">
        <v>44047</v>
      </c>
      <c r="B148" s="45">
        <v>13715.13</v>
      </c>
      <c r="C148" s="19">
        <f t="shared" si="2"/>
        <v>44074</v>
      </c>
      <c r="D148" s="43"/>
      <c r="E148" s="45"/>
    </row>
    <row r="149" spans="1:5" x14ac:dyDescent="0.3">
      <c r="A149" s="54">
        <v>44048</v>
      </c>
      <c r="B149" s="45">
        <v>13738.57</v>
      </c>
      <c r="C149" s="19">
        <f t="shared" si="2"/>
        <v>44074</v>
      </c>
      <c r="D149" s="43"/>
      <c r="E149" s="45"/>
    </row>
    <row r="150" spans="1:5" x14ac:dyDescent="0.3">
      <c r="A150" s="54">
        <v>44049</v>
      </c>
      <c r="B150" s="45">
        <v>13862.69</v>
      </c>
      <c r="C150" s="19">
        <f t="shared" si="2"/>
        <v>44074</v>
      </c>
      <c r="D150" s="43"/>
      <c r="E150" s="45"/>
    </row>
    <row r="151" spans="1:5" x14ac:dyDescent="0.3">
      <c r="A151" s="54">
        <v>44050</v>
      </c>
      <c r="B151" s="45">
        <v>13907.39</v>
      </c>
      <c r="C151" s="19">
        <f t="shared" si="2"/>
        <v>44074</v>
      </c>
      <c r="D151" s="43"/>
      <c r="E151" s="45"/>
    </row>
    <row r="152" spans="1:5" x14ac:dyDescent="0.3">
      <c r="A152" s="54">
        <v>44053</v>
      </c>
      <c r="B152" s="45">
        <v>14013.13</v>
      </c>
      <c r="C152" s="19">
        <f t="shared" si="2"/>
        <v>44074</v>
      </c>
      <c r="D152" s="43"/>
      <c r="E152" s="45"/>
    </row>
    <row r="153" spans="1:5" x14ac:dyDescent="0.3">
      <c r="A153" s="54">
        <v>44054</v>
      </c>
      <c r="B153" s="45">
        <v>14047.06</v>
      </c>
      <c r="C153" s="19">
        <f t="shared" si="2"/>
        <v>44074</v>
      </c>
      <c r="D153" s="43"/>
      <c r="E153" s="45"/>
    </row>
    <row r="154" spans="1:5" x14ac:dyDescent="0.3">
      <c r="A154" s="54">
        <v>44055</v>
      </c>
      <c r="B154" s="45">
        <v>14037.7</v>
      </c>
      <c r="C154" s="19">
        <f t="shared" si="2"/>
        <v>44074</v>
      </c>
      <c r="D154" s="43"/>
      <c r="E154" s="45"/>
    </row>
    <row r="155" spans="1:5" x14ac:dyDescent="0.3">
      <c r="A155" s="54">
        <v>44056</v>
      </c>
      <c r="B155" s="45">
        <v>14077.17</v>
      </c>
      <c r="C155" s="19">
        <f t="shared" si="2"/>
        <v>44074</v>
      </c>
      <c r="D155" s="43"/>
      <c r="E155" s="45"/>
    </row>
    <row r="156" spans="1:5" x14ac:dyDescent="0.3">
      <c r="A156" s="54">
        <v>44057</v>
      </c>
      <c r="B156" s="45">
        <v>13935.92</v>
      </c>
      <c r="C156" s="19">
        <f t="shared" si="2"/>
        <v>44074</v>
      </c>
      <c r="D156" s="43"/>
      <c r="E156" s="45"/>
    </row>
    <row r="157" spans="1:5" x14ac:dyDescent="0.3">
      <c r="A157" s="54">
        <v>44060</v>
      </c>
      <c r="B157" s="45">
        <v>14017.08</v>
      </c>
      <c r="C157" s="19">
        <f t="shared" si="2"/>
        <v>44074</v>
      </c>
      <c r="D157" s="43"/>
      <c r="E157" s="45"/>
    </row>
    <row r="158" spans="1:5" x14ac:dyDescent="0.3">
      <c r="A158" s="54">
        <v>44061</v>
      </c>
      <c r="B158" s="45">
        <v>14189.88</v>
      </c>
      <c r="C158" s="19">
        <f t="shared" si="2"/>
        <v>44074</v>
      </c>
      <c r="D158" s="43"/>
      <c r="E158" s="45"/>
    </row>
    <row r="159" spans="1:5" x14ac:dyDescent="0.3">
      <c r="A159" s="54">
        <v>44062</v>
      </c>
      <c r="B159" s="45">
        <v>14237.02</v>
      </c>
      <c r="C159" s="19">
        <f t="shared" si="2"/>
        <v>44074</v>
      </c>
      <c r="D159" s="43"/>
      <c r="E159" s="45"/>
    </row>
    <row r="160" spans="1:5" x14ac:dyDescent="0.3">
      <c r="A160" s="54">
        <v>44063</v>
      </c>
      <c r="B160" s="45">
        <v>14171.02</v>
      </c>
      <c r="C160" s="19">
        <f t="shared" si="2"/>
        <v>44074</v>
      </c>
      <c r="D160" s="43"/>
      <c r="E160" s="45"/>
    </row>
    <row r="161" spans="1:5" x14ac:dyDescent="0.3">
      <c r="A161" s="54">
        <v>44064</v>
      </c>
      <c r="B161" s="45">
        <v>14254.38</v>
      </c>
      <c r="C161" s="19">
        <f t="shared" si="2"/>
        <v>44074</v>
      </c>
      <c r="D161" s="43"/>
      <c r="E161" s="45"/>
    </row>
    <row r="162" spans="1:5" x14ac:dyDescent="0.3">
      <c r="A162" s="54">
        <v>44067</v>
      </c>
      <c r="B162" s="45">
        <v>14367.48</v>
      </c>
      <c r="C162" s="19">
        <f t="shared" si="2"/>
        <v>44074</v>
      </c>
      <c r="D162" s="43"/>
      <c r="E162" s="45"/>
    </row>
    <row r="163" spans="1:5" x14ac:dyDescent="0.3">
      <c r="A163" s="54">
        <v>44068</v>
      </c>
      <c r="B163" s="45">
        <v>14383.96</v>
      </c>
      <c r="C163" s="19">
        <f t="shared" si="2"/>
        <v>44074</v>
      </c>
      <c r="D163" s="43"/>
      <c r="E163" s="45"/>
    </row>
    <row r="164" spans="1:5" x14ac:dyDescent="0.3">
      <c r="A164" s="54">
        <v>44069</v>
      </c>
      <c r="B164" s="45">
        <v>14474.1</v>
      </c>
      <c r="C164" s="19">
        <f t="shared" si="2"/>
        <v>44074</v>
      </c>
      <c r="D164" s="43"/>
      <c r="E164" s="45"/>
    </row>
    <row r="165" spans="1:5" x14ac:dyDescent="0.3">
      <c r="A165" s="54">
        <v>44070</v>
      </c>
      <c r="B165" s="45">
        <v>14494.78</v>
      </c>
      <c r="C165" s="19">
        <f t="shared" si="2"/>
        <v>44074</v>
      </c>
      <c r="D165" s="43"/>
      <c r="E165" s="45"/>
    </row>
    <row r="166" spans="1:5" x14ac:dyDescent="0.3">
      <c r="A166" s="54">
        <v>44071</v>
      </c>
      <c r="B166" s="45">
        <v>14586.35</v>
      </c>
      <c r="C166" s="19">
        <f t="shared" si="2"/>
        <v>44074</v>
      </c>
      <c r="D166" s="43"/>
      <c r="E166" s="45"/>
    </row>
    <row r="167" spans="1:5" x14ac:dyDescent="0.3">
      <c r="A167" s="54">
        <v>44074</v>
      </c>
      <c r="B167" s="45">
        <v>14179.34</v>
      </c>
      <c r="C167" s="19">
        <f t="shared" si="2"/>
        <v>44074</v>
      </c>
      <c r="D167" s="43"/>
      <c r="E167" s="45"/>
    </row>
    <row r="168" spans="1:5" x14ac:dyDescent="0.3">
      <c r="A168" s="54">
        <v>44075</v>
      </c>
      <c r="B168" s="45">
        <v>14285.55</v>
      </c>
      <c r="C168" s="19">
        <f t="shared" si="2"/>
        <v>44104</v>
      </c>
      <c r="D168" s="43"/>
      <c r="E168" s="45"/>
    </row>
    <row r="169" spans="1:5" x14ac:dyDescent="0.3">
      <c r="A169" s="54">
        <v>44076</v>
      </c>
      <c r="B169" s="45">
        <v>14402.98</v>
      </c>
      <c r="C169" s="19">
        <f t="shared" si="2"/>
        <v>44104</v>
      </c>
      <c r="D169" s="43"/>
      <c r="E169" s="45"/>
    </row>
    <row r="170" spans="1:5" x14ac:dyDescent="0.3">
      <c r="A170" s="54">
        <v>44077</v>
      </c>
      <c r="B170" s="45">
        <v>14427.92</v>
      </c>
      <c r="C170" s="19">
        <f t="shared" si="2"/>
        <v>44104</v>
      </c>
      <c r="D170" s="43"/>
      <c r="E170" s="45"/>
    </row>
    <row r="171" spans="1:5" x14ac:dyDescent="0.3">
      <c r="A171" s="54">
        <v>44078</v>
      </c>
      <c r="B171" s="45">
        <v>14190.8</v>
      </c>
      <c r="C171" s="19">
        <f t="shared" si="2"/>
        <v>44104</v>
      </c>
      <c r="D171" s="43"/>
      <c r="E171" s="45"/>
    </row>
    <row r="172" spans="1:5" x14ac:dyDescent="0.3">
      <c r="A172" s="54">
        <v>44081</v>
      </c>
      <c r="B172" s="45">
        <v>14192.59</v>
      </c>
      <c r="C172" s="19">
        <f t="shared" si="2"/>
        <v>44104</v>
      </c>
      <c r="D172" s="43"/>
      <c r="E172" s="45"/>
    </row>
    <row r="173" spans="1:5" x14ac:dyDescent="0.3">
      <c r="A173" s="54">
        <v>44082</v>
      </c>
      <c r="B173" s="45">
        <v>14118.09</v>
      </c>
      <c r="C173" s="19">
        <f t="shared" si="2"/>
        <v>44104</v>
      </c>
      <c r="D173" s="43"/>
      <c r="E173" s="45"/>
    </row>
    <row r="174" spans="1:5" x14ac:dyDescent="0.3">
      <c r="A174" s="54">
        <v>44083</v>
      </c>
      <c r="B174" s="45">
        <v>14058.29</v>
      </c>
      <c r="C174" s="19">
        <f t="shared" si="2"/>
        <v>44104</v>
      </c>
      <c r="D174" s="43"/>
      <c r="E174" s="45"/>
    </row>
    <row r="175" spans="1:5" x14ac:dyDescent="0.3">
      <c r="A175" s="54">
        <v>44084</v>
      </c>
      <c r="B175" s="45">
        <v>14255.36</v>
      </c>
      <c r="C175" s="19">
        <f t="shared" si="2"/>
        <v>44104</v>
      </c>
      <c r="D175" s="43"/>
      <c r="E175" s="45"/>
    </row>
    <row r="176" spans="1:5" x14ac:dyDescent="0.3">
      <c r="A176" s="54">
        <v>44085</v>
      </c>
      <c r="B176" s="45">
        <v>14295.07</v>
      </c>
      <c r="C176" s="19">
        <f t="shared" si="2"/>
        <v>44104</v>
      </c>
      <c r="D176" s="43"/>
      <c r="E176" s="45"/>
    </row>
    <row r="177" spans="1:5" x14ac:dyDescent="0.3">
      <c r="A177" s="54">
        <v>44088</v>
      </c>
      <c r="B177" s="45">
        <v>14366.63</v>
      </c>
      <c r="C177" s="19">
        <f t="shared" si="2"/>
        <v>44104</v>
      </c>
      <c r="D177" s="43"/>
      <c r="E177" s="45"/>
    </row>
    <row r="178" spans="1:5" x14ac:dyDescent="0.3">
      <c r="A178" s="54">
        <v>44089</v>
      </c>
      <c r="B178" s="45">
        <v>14488.25</v>
      </c>
      <c r="C178" s="19">
        <f t="shared" si="2"/>
        <v>44104</v>
      </c>
      <c r="D178" s="43"/>
      <c r="E178" s="45"/>
    </row>
    <row r="179" spans="1:5" x14ac:dyDescent="0.3">
      <c r="A179" s="54">
        <v>44090</v>
      </c>
      <c r="B179" s="45">
        <v>14578.07</v>
      </c>
      <c r="C179" s="19">
        <f t="shared" si="2"/>
        <v>44104</v>
      </c>
      <c r="D179" s="43"/>
      <c r="E179" s="45"/>
    </row>
    <row r="180" spans="1:5" x14ac:dyDescent="0.3">
      <c r="A180" s="54">
        <v>44091</v>
      </c>
      <c r="B180" s="45">
        <v>14479.79</v>
      </c>
      <c r="C180" s="19">
        <f t="shared" si="2"/>
        <v>44104</v>
      </c>
      <c r="D180" s="43"/>
      <c r="E180" s="45"/>
    </row>
    <row r="181" spans="1:5" x14ac:dyDescent="0.3">
      <c r="A181" s="54">
        <v>44092</v>
      </c>
      <c r="B181" s="45">
        <v>14468.91</v>
      </c>
      <c r="C181" s="19">
        <f t="shared" si="2"/>
        <v>44104</v>
      </c>
      <c r="D181" s="43"/>
      <c r="E181" s="45"/>
    </row>
    <row r="182" spans="1:5" x14ac:dyDescent="0.3">
      <c r="A182" s="54">
        <v>44095</v>
      </c>
      <c r="B182" s="45">
        <v>14096.2</v>
      </c>
      <c r="C182" s="19">
        <f t="shared" si="2"/>
        <v>44104</v>
      </c>
      <c r="D182" s="43"/>
      <c r="E182" s="45"/>
    </row>
    <row r="183" spans="1:5" x14ac:dyDescent="0.3">
      <c r="A183" s="54">
        <v>44096</v>
      </c>
      <c r="B183" s="45">
        <v>13946.28</v>
      </c>
      <c r="C183" s="19">
        <f t="shared" si="2"/>
        <v>44104</v>
      </c>
      <c r="D183" s="43"/>
      <c r="E183" s="45"/>
    </row>
    <row r="184" spans="1:5" x14ac:dyDescent="0.3">
      <c r="A184" s="54">
        <v>44097</v>
      </c>
      <c r="B184" s="45">
        <v>13916.67</v>
      </c>
      <c r="C184" s="19">
        <f t="shared" si="2"/>
        <v>44104</v>
      </c>
      <c r="D184" s="43"/>
      <c r="E184" s="45"/>
    </row>
    <row r="185" spans="1:5" x14ac:dyDescent="0.3">
      <c r="A185" s="54">
        <v>44098</v>
      </c>
      <c r="B185" s="45">
        <v>13538.89</v>
      </c>
      <c r="C185" s="19">
        <f t="shared" si="2"/>
        <v>44104</v>
      </c>
      <c r="D185" s="43"/>
      <c r="E185" s="45"/>
    </row>
    <row r="186" spans="1:5" x14ac:dyDescent="0.3">
      <c r="A186" s="54">
        <v>44099</v>
      </c>
      <c r="B186" s="45">
        <v>13858.78</v>
      </c>
      <c r="C186" s="19">
        <f t="shared" si="2"/>
        <v>44104</v>
      </c>
      <c r="D186" s="43"/>
      <c r="E186" s="45"/>
    </row>
    <row r="187" spans="1:5" x14ac:dyDescent="0.3">
      <c r="A187" s="54">
        <v>44102</v>
      </c>
      <c r="B187" s="45">
        <v>14122.42</v>
      </c>
      <c r="C187" s="19">
        <f t="shared" si="2"/>
        <v>44104</v>
      </c>
      <c r="D187" s="43"/>
      <c r="E187" s="45"/>
    </row>
    <row r="188" spans="1:5" x14ac:dyDescent="0.3">
      <c r="A188" s="54">
        <v>44103</v>
      </c>
      <c r="B188" s="45">
        <v>14106.45</v>
      </c>
      <c r="C188" s="19">
        <f t="shared" si="2"/>
        <v>44104</v>
      </c>
      <c r="D188" s="43"/>
      <c r="E188" s="45"/>
    </row>
    <row r="189" spans="1:5" x14ac:dyDescent="0.3">
      <c r="A189" s="54">
        <v>44104</v>
      </c>
      <c r="B189" s="45">
        <v>14139.78</v>
      </c>
      <c r="C189" s="19">
        <f t="shared" si="2"/>
        <v>44104</v>
      </c>
      <c r="D189" s="43"/>
      <c r="E189" s="45"/>
    </row>
    <row r="190" spans="1:5" x14ac:dyDescent="0.3">
      <c r="A190" s="54">
        <v>44105</v>
      </c>
      <c r="B190" s="45">
        <v>14321.32</v>
      </c>
      <c r="C190" s="19">
        <f t="shared" si="2"/>
        <v>44135</v>
      </c>
      <c r="D190" s="43"/>
      <c r="E190" s="45"/>
    </row>
    <row r="191" spans="1:5" x14ac:dyDescent="0.3">
      <c r="A191" s="54">
        <v>44109</v>
      </c>
      <c r="B191" s="45">
        <v>14403.97</v>
      </c>
      <c r="C191" s="19">
        <f t="shared" si="2"/>
        <v>44135</v>
      </c>
      <c r="D191" s="43"/>
      <c r="E191" s="45"/>
    </row>
    <row r="192" spans="1:5" x14ac:dyDescent="0.3">
      <c r="A192" s="54">
        <v>44110</v>
      </c>
      <c r="B192" s="45">
        <v>14564.5</v>
      </c>
      <c r="C192" s="19">
        <f t="shared" si="2"/>
        <v>44135</v>
      </c>
      <c r="D192" s="43"/>
      <c r="E192" s="45"/>
    </row>
    <row r="193" spans="1:5" x14ac:dyDescent="0.3">
      <c r="A193" s="54">
        <v>44111</v>
      </c>
      <c r="B193" s="45">
        <v>14613.15</v>
      </c>
      <c r="C193" s="19">
        <f t="shared" si="2"/>
        <v>44135</v>
      </c>
      <c r="D193" s="43"/>
      <c r="E193" s="45"/>
    </row>
    <row r="194" spans="1:5" x14ac:dyDescent="0.3">
      <c r="A194" s="54">
        <v>44112</v>
      </c>
      <c r="B194" s="45">
        <v>14699.94</v>
      </c>
      <c r="C194" s="19">
        <f t="shared" ref="C194:C257" si="3">EOMONTH(A194,0)</f>
        <v>44135</v>
      </c>
      <c r="D194" s="43"/>
      <c r="E194" s="45"/>
    </row>
    <row r="195" spans="1:5" x14ac:dyDescent="0.3">
      <c r="A195" s="54">
        <v>44113</v>
      </c>
      <c r="B195" s="45">
        <v>14757.92</v>
      </c>
      <c r="C195" s="19">
        <f t="shared" si="3"/>
        <v>44135</v>
      </c>
      <c r="D195" s="43"/>
      <c r="E195" s="45"/>
    </row>
    <row r="196" spans="1:5" x14ac:dyDescent="0.3">
      <c r="A196" s="54">
        <v>44116</v>
      </c>
      <c r="B196" s="45">
        <v>14750.66</v>
      </c>
      <c r="C196" s="19">
        <f t="shared" si="3"/>
        <v>44135</v>
      </c>
      <c r="D196" s="43"/>
      <c r="E196" s="45"/>
    </row>
    <row r="197" spans="1:5" x14ac:dyDescent="0.3">
      <c r="A197" s="54">
        <v>44117</v>
      </c>
      <c r="B197" s="45">
        <v>14737.25</v>
      </c>
      <c r="C197" s="19">
        <f t="shared" si="3"/>
        <v>44135</v>
      </c>
      <c r="D197" s="43"/>
      <c r="E197" s="45"/>
    </row>
    <row r="198" spans="1:5" x14ac:dyDescent="0.3">
      <c r="A198" s="54">
        <v>44118</v>
      </c>
      <c r="B198" s="45">
        <v>14780.59</v>
      </c>
      <c r="C198" s="19">
        <f t="shared" si="3"/>
        <v>44135</v>
      </c>
      <c r="D198" s="43"/>
      <c r="E198" s="45"/>
    </row>
    <row r="199" spans="1:5" x14ac:dyDescent="0.3">
      <c r="A199" s="54">
        <v>44119</v>
      </c>
      <c r="B199" s="45">
        <v>14457.62</v>
      </c>
      <c r="C199" s="19">
        <f t="shared" si="3"/>
        <v>44135</v>
      </c>
      <c r="D199" s="43"/>
      <c r="E199" s="45"/>
    </row>
    <row r="200" spans="1:5" x14ac:dyDescent="0.3">
      <c r="A200" s="54">
        <v>44120</v>
      </c>
      <c r="B200" s="45">
        <v>14572.95</v>
      </c>
      <c r="C200" s="19">
        <f t="shared" si="3"/>
        <v>44135</v>
      </c>
      <c r="D200" s="43"/>
      <c r="E200" s="45"/>
    </row>
    <row r="201" spans="1:5" x14ac:dyDescent="0.3">
      <c r="A201" s="54">
        <v>44123</v>
      </c>
      <c r="B201" s="45">
        <v>14698.7</v>
      </c>
      <c r="C201" s="19">
        <f t="shared" si="3"/>
        <v>44135</v>
      </c>
      <c r="D201" s="43"/>
      <c r="E201" s="45"/>
    </row>
    <row r="202" spans="1:5" x14ac:dyDescent="0.3">
      <c r="A202" s="54">
        <v>44124</v>
      </c>
      <c r="B202" s="45">
        <v>14734.59</v>
      </c>
      <c r="C202" s="19">
        <f t="shared" si="3"/>
        <v>44135</v>
      </c>
      <c r="D202" s="43"/>
      <c r="E202" s="45"/>
    </row>
    <row r="203" spans="1:5" x14ac:dyDescent="0.3">
      <c r="A203" s="54">
        <v>44125</v>
      </c>
      <c r="B203" s="45">
        <v>14770.31</v>
      </c>
      <c r="C203" s="19">
        <f t="shared" si="3"/>
        <v>44135</v>
      </c>
      <c r="D203" s="43"/>
      <c r="E203" s="45"/>
    </row>
    <row r="204" spans="1:5" x14ac:dyDescent="0.3">
      <c r="A204" s="54">
        <v>44126</v>
      </c>
      <c r="B204" s="45">
        <v>14753.69</v>
      </c>
      <c r="C204" s="19">
        <f t="shared" si="3"/>
        <v>44135</v>
      </c>
      <c r="D204" s="43"/>
      <c r="E204" s="45"/>
    </row>
    <row r="205" spans="1:5" x14ac:dyDescent="0.3">
      <c r="A205" s="54">
        <v>44127</v>
      </c>
      <c r="B205" s="45">
        <v>14816.06</v>
      </c>
      <c r="C205" s="19">
        <f t="shared" si="3"/>
        <v>44135</v>
      </c>
      <c r="D205" s="43"/>
      <c r="E205" s="45"/>
    </row>
    <row r="206" spans="1:5" x14ac:dyDescent="0.3">
      <c r="A206" s="54">
        <v>44130</v>
      </c>
      <c r="B206" s="45">
        <v>14615.15</v>
      </c>
      <c r="C206" s="19">
        <f t="shared" si="3"/>
        <v>44135</v>
      </c>
      <c r="D206" s="43"/>
      <c r="E206" s="45"/>
    </row>
    <row r="207" spans="1:5" x14ac:dyDescent="0.3">
      <c r="A207" s="54">
        <v>44131</v>
      </c>
      <c r="B207" s="45">
        <v>14767.77</v>
      </c>
      <c r="C207" s="19">
        <f t="shared" si="3"/>
        <v>44135</v>
      </c>
      <c r="D207" s="43"/>
      <c r="E207" s="45"/>
    </row>
    <row r="208" spans="1:5" x14ac:dyDescent="0.3">
      <c r="A208" s="54">
        <v>44132</v>
      </c>
      <c r="B208" s="45">
        <v>14594.96</v>
      </c>
      <c r="C208" s="19">
        <f t="shared" si="3"/>
        <v>44135</v>
      </c>
      <c r="D208" s="43"/>
      <c r="E208" s="45"/>
    </row>
    <row r="209" spans="1:5" x14ac:dyDescent="0.3">
      <c r="A209" s="54">
        <v>44133</v>
      </c>
      <c r="B209" s="45">
        <v>14539.33</v>
      </c>
      <c r="C209" s="19">
        <f t="shared" si="3"/>
        <v>44135</v>
      </c>
      <c r="D209" s="43"/>
      <c r="E209" s="45"/>
    </row>
    <row r="210" spans="1:5" x14ac:dyDescent="0.3">
      <c r="A210" s="54">
        <v>44134</v>
      </c>
      <c r="B210" s="45">
        <v>14521.56</v>
      </c>
      <c r="C210" s="19">
        <f t="shared" si="3"/>
        <v>44135</v>
      </c>
      <c r="D210" s="43"/>
      <c r="E210" s="45"/>
    </row>
    <row r="211" spans="1:5" x14ac:dyDescent="0.3">
      <c r="A211" s="54">
        <v>44137</v>
      </c>
      <c r="B211" s="45">
        <v>14543.26</v>
      </c>
      <c r="C211" s="19">
        <f t="shared" si="3"/>
        <v>44165</v>
      </c>
      <c r="D211" s="43"/>
      <c r="E211" s="45"/>
    </row>
    <row r="212" spans="1:5" x14ac:dyDescent="0.3">
      <c r="A212" s="54">
        <v>44138</v>
      </c>
      <c r="B212" s="45">
        <v>14695.59</v>
      </c>
      <c r="C212" s="19">
        <f t="shared" si="3"/>
        <v>44165</v>
      </c>
      <c r="D212" s="43"/>
      <c r="E212" s="45"/>
    </row>
    <row r="213" spans="1:5" x14ac:dyDescent="0.3">
      <c r="A213" s="54">
        <v>44139</v>
      </c>
      <c r="B213" s="45">
        <v>14803.64</v>
      </c>
      <c r="C213" s="19">
        <f t="shared" si="3"/>
        <v>44165</v>
      </c>
      <c r="D213" s="43"/>
      <c r="E213" s="45"/>
    </row>
    <row r="214" spans="1:5" x14ac:dyDescent="0.3">
      <c r="A214" s="54">
        <v>44140</v>
      </c>
      <c r="B214" s="45">
        <v>15063.26</v>
      </c>
      <c r="C214" s="19">
        <f t="shared" si="3"/>
        <v>44165</v>
      </c>
      <c r="D214" s="43"/>
      <c r="E214" s="45"/>
    </row>
    <row r="215" spans="1:5" x14ac:dyDescent="0.3">
      <c r="A215" s="54">
        <v>44141</v>
      </c>
      <c r="B215" s="45">
        <v>15212.07</v>
      </c>
      <c r="C215" s="19">
        <f t="shared" si="3"/>
        <v>44165</v>
      </c>
      <c r="D215" s="43"/>
      <c r="E215" s="45"/>
    </row>
    <row r="216" spans="1:5" x14ac:dyDescent="0.3">
      <c r="A216" s="54">
        <v>44144</v>
      </c>
      <c r="B216" s="45">
        <v>15428.84</v>
      </c>
      <c r="C216" s="19">
        <f t="shared" si="3"/>
        <v>44165</v>
      </c>
      <c r="D216" s="43"/>
      <c r="E216" s="45"/>
    </row>
    <row r="217" spans="1:5" x14ac:dyDescent="0.3">
      <c r="A217" s="54">
        <v>44145</v>
      </c>
      <c r="B217" s="45">
        <v>15569.44</v>
      </c>
      <c r="C217" s="19">
        <f t="shared" si="3"/>
        <v>44165</v>
      </c>
      <c r="D217" s="43"/>
      <c r="E217" s="45"/>
    </row>
    <row r="218" spans="1:5" x14ac:dyDescent="0.3">
      <c r="A218" s="54">
        <v>44146</v>
      </c>
      <c r="B218" s="45">
        <v>15702.39</v>
      </c>
      <c r="C218" s="19">
        <f t="shared" si="3"/>
        <v>44165</v>
      </c>
      <c r="D218" s="43"/>
      <c r="E218" s="45"/>
    </row>
    <row r="219" spans="1:5" x14ac:dyDescent="0.3">
      <c r="A219" s="54">
        <v>44147</v>
      </c>
      <c r="B219" s="45">
        <v>15681.98</v>
      </c>
      <c r="C219" s="19">
        <f t="shared" si="3"/>
        <v>44165</v>
      </c>
      <c r="D219" s="43"/>
      <c r="E219" s="45"/>
    </row>
    <row r="220" spans="1:5" x14ac:dyDescent="0.3">
      <c r="A220" s="54">
        <v>44148</v>
      </c>
      <c r="B220" s="45">
        <v>15749.74</v>
      </c>
      <c r="C220" s="19">
        <f t="shared" si="3"/>
        <v>44165</v>
      </c>
      <c r="D220" s="43"/>
      <c r="E220" s="45"/>
    </row>
    <row r="221" spans="1:5" x14ac:dyDescent="0.3">
      <c r="A221" s="54">
        <v>44152</v>
      </c>
      <c r="B221" s="45">
        <v>15957.28</v>
      </c>
      <c r="C221" s="19">
        <f t="shared" si="3"/>
        <v>44165</v>
      </c>
      <c r="D221" s="43"/>
      <c r="E221" s="45"/>
    </row>
    <row r="222" spans="1:5" x14ac:dyDescent="0.3">
      <c r="A222" s="54">
        <v>44153</v>
      </c>
      <c r="B222" s="45">
        <v>16055.59</v>
      </c>
      <c r="C222" s="19">
        <f t="shared" si="3"/>
        <v>44165</v>
      </c>
      <c r="D222" s="43"/>
      <c r="E222" s="45"/>
    </row>
    <row r="223" spans="1:5" x14ac:dyDescent="0.3">
      <c r="A223" s="54">
        <v>44154</v>
      </c>
      <c r="B223" s="45">
        <v>15887.85</v>
      </c>
      <c r="C223" s="19">
        <f t="shared" si="3"/>
        <v>44165</v>
      </c>
      <c r="D223" s="43"/>
      <c r="E223" s="45"/>
    </row>
    <row r="224" spans="1:5" x14ac:dyDescent="0.3">
      <c r="A224" s="54">
        <v>44155</v>
      </c>
      <c r="B224" s="45">
        <v>16013.83</v>
      </c>
      <c r="C224" s="19">
        <f t="shared" si="3"/>
        <v>44165</v>
      </c>
      <c r="D224" s="43"/>
      <c r="E224" s="45"/>
    </row>
    <row r="225" spans="1:5" x14ac:dyDescent="0.3">
      <c r="A225" s="54">
        <v>44158</v>
      </c>
      <c r="B225" s="45">
        <v>16129.46</v>
      </c>
      <c r="C225" s="19">
        <f t="shared" si="3"/>
        <v>44165</v>
      </c>
      <c r="D225" s="43"/>
      <c r="E225" s="45"/>
    </row>
    <row r="226" spans="1:5" x14ac:dyDescent="0.3">
      <c r="A226" s="54">
        <v>44159</v>
      </c>
      <c r="B226" s="45">
        <v>16277.69</v>
      </c>
      <c r="C226" s="19">
        <f t="shared" si="3"/>
        <v>44165</v>
      </c>
      <c r="D226" s="43"/>
      <c r="E226" s="45"/>
    </row>
    <row r="227" spans="1:5" x14ac:dyDescent="0.3">
      <c r="A227" s="54">
        <v>44160</v>
      </c>
      <c r="B227" s="45">
        <v>16037.11</v>
      </c>
      <c r="C227" s="19">
        <f t="shared" si="3"/>
        <v>44165</v>
      </c>
      <c r="D227" s="43"/>
      <c r="E227" s="45"/>
    </row>
    <row r="228" spans="1:5" x14ac:dyDescent="0.3">
      <c r="A228" s="54">
        <v>44161</v>
      </c>
      <c r="B228" s="45">
        <v>16187.4</v>
      </c>
      <c r="C228" s="19">
        <f t="shared" si="3"/>
        <v>44165</v>
      </c>
      <c r="D228" s="43"/>
      <c r="E228" s="45"/>
    </row>
    <row r="229" spans="1:5" x14ac:dyDescent="0.3">
      <c r="A229" s="54">
        <v>44162</v>
      </c>
      <c r="B229" s="45">
        <v>16255.62</v>
      </c>
      <c r="C229" s="19">
        <f t="shared" si="3"/>
        <v>44165</v>
      </c>
      <c r="D229" s="43"/>
      <c r="E229" s="45"/>
    </row>
    <row r="230" spans="1:5" x14ac:dyDescent="0.3">
      <c r="A230" s="54">
        <v>44166</v>
      </c>
      <c r="B230" s="45">
        <v>16431.79</v>
      </c>
      <c r="C230" s="19">
        <f t="shared" si="3"/>
        <v>44196</v>
      </c>
      <c r="D230" s="43"/>
      <c r="E230" s="45"/>
    </row>
    <row r="231" spans="1:5" x14ac:dyDescent="0.3">
      <c r="A231" s="54">
        <v>44167</v>
      </c>
      <c r="B231" s="45">
        <v>16466.7</v>
      </c>
      <c r="C231" s="19">
        <f t="shared" si="3"/>
        <v>44196</v>
      </c>
      <c r="D231" s="43"/>
      <c r="E231" s="45"/>
    </row>
    <row r="232" spans="1:5" x14ac:dyDescent="0.3">
      <c r="A232" s="54">
        <v>44168</v>
      </c>
      <c r="B232" s="45">
        <v>16520.43</v>
      </c>
      <c r="C232" s="19">
        <f t="shared" si="3"/>
        <v>44196</v>
      </c>
      <c r="D232" s="43"/>
      <c r="E232" s="45"/>
    </row>
    <row r="233" spans="1:5" x14ac:dyDescent="0.3">
      <c r="A233" s="54">
        <v>44169</v>
      </c>
      <c r="B233" s="45">
        <v>16649.759999999998</v>
      </c>
      <c r="C233" s="19">
        <f t="shared" si="3"/>
        <v>44196</v>
      </c>
      <c r="D233" s="43"/>
      <c r="E233" s="45"/>
    </row>
    <row r="234" spans="1:5" x14ac:dyDescent="0.3">
      <c r="A234" s="54">
        <v>44172</v>
      </c>
      <c r="B234" s="45">
        <v>16788.330000000002</v>
      </c>
      <c r="C234" s="19">
        <f t="shared" si="3"/>
        <v>44196</v>
      </c>
      <c r="D234" s="43"/>
      <c r="E234" s="45"/>
    </row>
    <row r="235" spans="1:5" x14ac:dyDescent="0.3">
      <c r="A235" s="54">
        <v>44173</v>
      </c>
      <c r="B235" s="45">
        <v>16816.259999999998</v>
      </c>
      <c r="C235" s="19">
        <f t="shared" si="3"/>
        <v>44196</v>
      </c>
      <c r="D235" s="43"/>
      <c r="E235" s="45"/>
    </row>
    <row r="236" spans="1:5" x14ac:dyDescent="0.3">
      <c r="A236" s="54">
        <v>44174</v>
      </c>
      <c r="B236" s="45">
        <v>16956.62</v>
      </c>
      <c r="C236" s="19">
        <f t="shared" si="3"/>
        <v>44196</v>
      </c>
      <c r="D236" s="43"/>
      <c r="E236" s="45"/>
    </row>
    <row r="237" spans="1:5" x14ac:dyDescent="0.3">
      <c r="A237" s="54">
        <v>44175</v>
      </c>
      <c r="B237" s="45">
        <v>16896.14</v>
      </c>
      <c r="C237" s="19">
        <f t="shared" si="3"/>
        <v>44196</v>
      </c>
      <c r="D237" s="43"/>
      <c r="E237" s="45"/>
    </row>
    <row r="238" spans="1:5" x14ac:dyDescent="0.3">
      <c r="A238" s="54">
        <v>44176</v>
      </c>
      <c r="B238" s="45">
        <v>16941.77</v>
      </c>
      <c r="C238" s="19">
        <f t="shared" si="3"/>
        <v>44196</v>
      </c>
      <c r="D238" s="43"/>
      <c r="E238" s="45"/>
    </row>
    <row r="239" spans="1:5" x14ac:dyDescent="0.3">
      <c r="A239" s="54">
        <v>44179</v>
      </c>
      <c r="B239" s="45">
        <v>17008.25</v>
      </c>
      <c r="C239" s="19">
        <f t="shared" si="3"/>
        <v>44196</v>
      </c>
      <c r="D239" s="43"/>
      <c r="E239" s="45"/>
    </row>
    <row r="240" spans="1:5" x14ac:dyDescent="0.3">
      <c r="A240" s="54">
        <v>44180</v>
      </c>
      <c r="B240" s="45">
        <v>17021.37</v>
      </c>
      <c r="C240" s="19">
        <f t="shared" si="3"/>
        <v>44196</v>
      </c>
      <c r="D240" s="43"/>
      <c r="E240" s="45"/>
    </row>
    <row r="241" spans="1:5" x14ac:dyDescent="0.3">
      <c r="A241" s="54">
        <v>44181</v>
      </c>
      <c r="B241" s="45">
        <v>17167.23</v>
      </c>
      <c r="C241" s="19">
        <f t="shared" si="3"/>
        <v>44196</v>
      </c>
      <c r="D241" s="43"/>
      <c r="E241" s="45"/>
    </row>
    <row r="242" spans="1:5" x14ac:dyDescent="0.3">
      <c r="A242" s="54">
        <v>44182</v>
      </c>
      <c r="B242" s="45">
        <v>17209.96</v>
      </c>
      <c r="C242" s="19">
        <f t="shared" si="3"/>
        <v>44196</v>
      </c>
      <c r="D242" s="43"/>
      <c r="E242" s="45"/>
    </row>
    <row r="243" spans="1:5" x14ac:dyDescent="0.3">
      <c r="A243" s="54">
        <v>44183</v>
      </c>
      <c r="B243" s="45">
        <v>17223.02</v>
      </c>
      <c r="C243" s="19">
        <f t="shared" si="3"/>
        <v>44196</v>
      </c>
      <c r="D243" s="43"/>
      <c r="E243" s="45"/>
    </row>
    <row r="244" spans="1:5" x14ac:dyDescent="0.3">
      <c r="A244" s="54">
        <v>44186</v>
      </c>
      <c r="B244" s="45">
        <v>16630.400000000001</v>
      </c>
      <c r="C244" s="19">
        <f t="shared" si="3"/>
        <v>44196</v>
      </c>
      <c r="D244" s="43"/>
      <c r="E244" s="45"/>
    </row>
    <row r="245" spans="1:5" x14ac:dyDescent="0.3">
      <c r="A245" s="54">
        <v>44187</v>
      </c>
      <c r="B245" s="45">
        <v>16799.490000000002</v>
      </c>
      <c r="C245" s="19">
        <f t="shared" si="3"/>
        <v>44196</v>
      </c>
      <c r="D245" s="43"/>
      <c r="E245" s="45"/>
    </row>
    <row r="246" spans="1:5" x14ac:dyDescent="0.3">
      <c r="A246" s="54">
        <v>44188</v>
      </c>
      <c r="B246" s="45">
        <v>17026.8</v>
      </c>
      <c r="C246" s="19">
        <f t="shared" si="3"/>
        <v>44196</v>
      </c>
      <c r="D246" s="43"/>
      <c r="E246" s="45"/>
    </row>
    <row r="247" spans="1:5" x14ac:dyDescent="0.3">
      <c r="A247" s="54">
        <v>44189</v>
      </c>
      <c r="B247" s="45">
        <v>17178.02</v>
      </c>
      <c r="C247" s="19">
        <f t="shared" si="3"/>
        <v>44196</v>
      </c>
      <c r="D247" s="43"/>
      <c r="E247" s="45"/>
    </row>
    <row r="248" spans="1:5" x14ac:dyDescent="0.3">
      <c r="A248" s="54">
        <v>44193</v>
      </c>
      <c r="B248" s="45">
        <v>17343.97</v>
      </c>
      <c r="C248" s="19">
        <f t="shared" si="3"/>
        <v>44196</v>
      </c>
      <c r="D248" s="43"/>
      <c r="E248" s="45"/>
    </row>
    <row r="249" spans="1:5" x14ac:dyDescent="0.3">
      <c r="A249" s="54">
        <v>44194</v>
      </c>
      <c r="B249" s="45">
        <v>17392.96</v>
      </c>
      <c r="C249" s="19">
        <f t="shared" si="3"/>
        <v>44196</v>
      </c>
      <c r="D249" s="43"/>
      <c r="E249" s="45"/>
    </row>
    <row r="250" spans="1:5" x14ac:dyDescent="0.3">
      <c r="A250" s="54">
        <v>44195</v>
      </c>
      <c r="B250" s="45">
        <v>17457.650000000001</v>
      </c>
      <c r="C250" s="19">
        <f t="shared" si="3"/>
        <v>44196</v>
      </c>
      <c r="D250" s="43"/>
      <c r="E250" s="45"/>
    </row>
    <row r="251" spans="1:5" x14ac:dyDescent="0.3">
      <c r="A251" s="54">
        <v>44196</v>
      </c>
      <c r="B251" s="45">
        <v>17470.79</v>
      </c>
      <c r="C251" s="19">
        <f t="shared" si="3"/>
        <v>44196</v>
      </c>
      <c r="D251" s="43"/>
      <c r="E251" s="45"/>
    </row>
    <row r="252" spans="1:5" x14ac:dyDescent="0.3">
      <c r="A252" s="54">
        <v>44197</v>
      </c>
      <c r="B252" s="45">
        <v>17556.560000000001</v>
      </c>
      <c r="C252" s="19">
        <f t="shared" si="3"/>
        <v>44227</v>
      </c>
      <c r="D252" s="43"/>
      <c r="E252" s="45"/>
    </row>
    <row r="253" spans="1:5" x14ac:dyDescent="0.3">
      <c r="A253" s="54">
        <v>44200</v>
      </c>
      <c r="B253" s="45">
        <v>17733.95</v>
      </c>
      <c r="C253" s="19">
        <f t="shared" si="3"/>
        <v>44227</v>
      </c>
      <c r="D253" s="43"/>
      <c r="E253" s="45"/>
    </row>
    <row r="254" spans="1:5" x14ac:dyDescent="0.3">
      <c r="A254" s="54">
        <v>44201</v>
      </c>
      <c r="B254" s="45">
        <v>17848.060000000001</v>
      </c>
      <c r="C254" s="19">
        <f t="shared" si="3"/>
        <v>44227</v>
      </c>
      <c r="D254" s="43"/>
      <c r="E254" s="45"/>
    </row>
    <row r="255" spans="1:5" x14ac:dyDescent="0.3">
      <c r="A255" s="54">
        <v>44202</v>
      </c>
      <c r="B255" s="45">
        <v>17803.919999999998</v>
      </c>
      <c r="C255" s="19">
        <f t="shared" si="3"/>
        <v>44227</v>
      </c>
      <c r="D255" s="43"/>
      <c r="E255" s="45"/>
    </row>
    <row r="256" spans="1:5" x14ac:dyDescent="0.3">
      <c r="A256" s="54">
        <v>44203</v>
      </c>
      <c r="B256" s="45">
        <v>17846.66</v>
      </c>
      <c r="C256" s="19">
        <f t="shared" si="3"/>
        <v>44227</v>
      </c>
      <c r="D256" s="43"/>
      <c r="E256" s="45"/>
    </row>
    <row r="257" spans="1:5" x14ac:dyDescent="0.3">
      <c r="A257" s="54">
        <v>44204</v>
      </c>
      <c r="B257" s="45">
        <v>18088.64</v>
      </c>
      <c r="C257" s="19">
        <f t="shared" si="3"/>
        <v>44227</v>
      </c>
      <c r="D257" s="43"/>
      <c r="E257" s="45"/>
    </row>
    <row r="258" spans="1:5" x14ac:dyDescent="0.3">
      <c r="A258" s="54">
        <v>44207</v>
      </c>
      <c r="B258" s="45">
        <v>18211.34</v>
      </c>
      <c r="C258" s="19">
        <f t="shared" ref="C258:C321" si="4">EOMONTH(A258,0)</f>
        <v>44227</v>
      </c>
      <c r="D258" s="43"/>
      <c r="E258" s="45"/>
    </row>
    <row r="259" spans="1:5" x14ac:dyDescent="0.3">
      <c r="A259" s="54">
        <v>44208</v>
      </c>
      <c r="B259" s="45">
        <v>18290.03</v>
      </c>
      <c r="C259" s="19">
        <f t="shared" si="4"/>
        <v>44227</v>
      </c>
      <c r="D259" s="43"/>
      <c r="E259" s="45"/>
    </row>
    <row r="260" spans="1:5" x14ac:dyDescent="0.3">
      <c r="A260" s="54">
        <v>44209</v>
      </c>
      <c r="B260" s="45">
        <v>18263.91</v>
      </c>
      <c r="C260" s="19">
        <f t="shared" si="4"/>
        <v>44227</v>
      </c>
      <c r="D260" s="43"/>
      <c r="E260" s="45"/>
    </row>
    <row r="261" spans="1:5" x14ac:dyDescent="0.3">
      <c r="A261" s="54">
        <v>44210</v>
      </c>
      <c r="B261" s="45">
        <v>18308.29</v>
      </c>
      <c r="C261" s="19">
        <f t="shared" si="4"/>
        <v>44227</v>
      </c>
      <c r="D261" s="43"/>
      <c r="E261" s="45"/>
    </row>
    <row r="262" spans="1:5" x14ac:dyDescent="0.3">
      <c r="A262" s="54">
        <v>44211</v>
      </c>
      <c r="B262" s="45">
        <v>18098.509999999998</v>
      </c>
      <c r="C262" s="19">
        <f t="shared" si="4"/>
        <v>44227</v>
      </c>
      <c r="D262" s="43"/>
      <c r="E262" s="45"/>
    </row>
    <row r="263" spans="1:5" x14ac:dyDescent="0.3">
      <c r="A263" s="54">
        <v>44214</v>
      </c>
      <c r="B263" s="45">
        <v>17863.349999999999</v>
      </c>
      <c r="C263" s="19">
        <f t="shared" si="4"/>
        <v>44227</v>
      </c>
      <c r="D263" s="43"/>
      <c r="E263" s="45"/>
    </row>
    <row r="264" spans="1:5" x14ac:dyDescent="0.3">
      <c r="A264" s="54">
        <v>44215</v>
      </c>
      <c r="B264" s="45">
        <v>18175.28</v>
      </c>
      <c r="C264" s="19">
        <f t="shared" si="4"/>
        <v>44227</v>
      </c>
      <c r="D264" s="43"/>
      <c r="E264" s="45"/>
    </row>
    <row r="265" spans="1:5" x14ac:dyDescent="0.3">
      <c r="A265" s="54">
        <v>44216</v>
      </c>
      <c r="B265" s="45">
        <v>18321.73</v>
      </c>
      <c r="C265" s="19">
        <f t="shared" si="4"/>
        <v>44227</v>
      </c>
      <c r="D265" s="43"/>
      <c r="E265" s="45"/>
    </row>
    <row r="266" spans="1:5" x14ac:dyDescent="0.3">
      <c r="A266" s="54">
        <v>44217</v>
      </c>
      <c r="B266" s="45">
        <v>18227.91</v>
      </c>
      <c r="C266" s="19">
        <f t="shared" si="4"/>
        <v>44227</v>
      </c>
      <c r="D266" s="43"/>
      <c r="E266" s="45"/>
    </row>
    <row r="267" spans="1:5" x14ac:dyDescent="0.3">
      <c r="A267" s="54">
        <v>44218</v>
      </c>
      <c r="B267" s="45">
        <v>17983.28</v>
      </c>
      <c r="C267" s="19">
        <f t="shared" si="4"/>
        <v>44227</v>
      </c>
      <c r="D267" s="43"/>
      <c r="E267" s="45"/>
    </row>
    <row r="268" spans="1:5" x14ac:dyDescent="0.3">
      <c r="A268" s="54">
        <v>44221</v>
      </c>
      <c r="B268" s="45">
        <v>17815.21</v>
      </c>
      <c r="C268" s="19">
        <f t="shared" si="4"/>
        <v>44227</v>
      </c>
      <c r="D268" s="43"/>
      <c r="E268" s="45"/>
    </row>
    <row r="269" spans="1:5" x14ac:dyDescent="0.3">
      <c r="A269" s="54">
        <v>44223</v>
      </c>
      <c r="B269" s="45">
        <v>17516.93</v>
      </c>
      <c r="C269" s="19">
        <f t="shared" si="4"/>
        <v>44227</v>
      </c>
      <c r="D269" s="43"/>
      <c r="E269" s="45"/>
    </row>
    <row r="270" spans="1:5" x14ac:dyDescent="0.3">
      <c r="A270" s="54">
        <v>44224</v>
      </c>
      <c r="B270" s="45">
        <v>17359.8</v>
      </c>
      <c r="C270" s="19">
        <f t="shared" si="4"/>
        <v>44227</v>
      </c>
      <c r="D270" s="43"/>
      <c r="E270" s="45"/>
    </row>
    <row r="271" spans="1:5" x14ac:dyDescent="0.3">
      <c r="A271" s="54">
        <v>44225</v>
      </c>
      <c r="B271" s="45">
        <v>17147.27</v>
      </c>
      <c r="C271" s="19">
        <f t="shared" si="4"/>
        <v>44227</v>
      </c>
      <c r="D271" s="43"/>
      <c r="E271" s="45"/>
    </row>
    <row r="272" spans="1:5" x14ac:dyDescent="0.3">
      <c r="A272" s="54">
        <v>44228</v>
      </c>
      <c r="B272" s="45">
        <v>17857.07</v>
      </c>
      <c r="C272" s="19">
        <f t="shared" si="4"/>
        <v>44255</v>
      </c>
      <c r="D272" s="43"/>
      <c r="E272" s="45"/>
    </row>
    <row r="273" spans="1:5" x14ac:dyDescent="0.3">
      <c r="A273" s="54">
        <v>44229</v>
      </c>
      <c r="B273" s="45">
        <v>18286.87</v>
      </c>
      <c r="C273" s="19">
        <f t="shared" si="4"/>
        <v>44255</v>
      </c>
      <c r="D273" s="43"/>
      <c r="E273" s="45"/>
    </row>
    <row r="274" spans="1:5" x14ac:dyDescent="0.3">
      <c r="A274" s="54">
        <v>44230</v>
      </c>
      <c r="B274" s="45">
        <v>18470.150000000001</v>
      </c>
      <c r="C274" s="19">
        <f t="shared" si="4"/>
        <v>44255</v>
      </c>
      <c r="D274" s="43"/>
      <c r="E274" s="45"/>
    </row>
    <row r="275" spans="1:5" x14ac:dyDescent="0.3">
      <c r="A275" s="54">
        <v>44231</v>
      </c>
      <c r="B275" s="45">
        <v>18640.59</v>
      </c>
      <c r="C275" s="19">
        <f t="shared" si="4"/>
        <v>44255</v>
      </c>
      <c r="D275" s="43"/>
      <c r="E275" s="45"/>
    </row>
    <row r="276" spans="1:5" x14ac:dyDescent="0.3">
      <c r="A276" s="54">
        <v>44232</v>
      </c>
      <c r="B276" s="45">
        <v>18631.61</v>
      </c>
      <c r="C276" s="19">
        <f t="shared" si="4"/>
        <v>44255</v>
      </c>
      <c r="D276" s="43"/>
      <c r="E276" s="45"/>
    </row>
    <row r="277" spans="1:5" x14ac:dyDescent="0.3">
      <c r="A277" s="54">
        <v>44235</v>
      </c>
      <c r="B277" s="45">
        <v>18876.939999999999</v>
      </c>
      <c r="C277" s="19">
        <f t="shared" si="4"/>
        <v>44255</v>
      </c>
      <c r="D277" s="43"/>
      <c r="E277" s="45"/>
    </row>
    <row r="278" spans="1:5" x14ac:dyDescent="0.3">
      <c r="A278" s="54">
        <v>44236</v>
      </c>
      <c r="B278" s="45">
        <v>18867.87</v>
      </c>
      <c r="C278" s="19">
        <f t="shared" si="4"/>
        <v>44255</v>
      </c>
      <c r="D278" s="43"/>
      <c r="E278" s="45"/>
    </row>
    <row r="279" spans="1:5" x14ac:dyDescent="0.3">
      <c r="A279" s="54">
        <v>44237</v>
      </c>
      <c r="B279" s="45">
        <v>18896</v>
      </c>
      <c r="C279" s="19">
        <f t="shared" si="4"/>
        <v>44255</v>
      </c>
      <c r="D279" s="43"/>
      <c r="E279" s="45"/>
    </row>
    <row r="280" spans="1:5" x14ac:dyDescent="0.3">
      <c r="A280" s="54">
        <v>44238</v>
      </c>
      <c r="B280" s="45">
        <v>18993.38</v>
      </c>
      <c r="C280" s="19">
        <f t="shared" si="4"/>
        <v>44255</v>
      </c>
      <c r="D280" s="43"/>
      <c r="E280" s="45"/>
    </row>
    <row r="281" spans="1:5" x14ac:dyDescent="0.3">
      <c r="A281" s="54">
        <v>44239</v>
      </c>
      <c r="B281" s="45">
        <v>18984.95</v>
      </c>
      <c r="C281" s="19">
        <f t="shared" si="4"/>
        <v>44255</v>
      </c>
      <c r="D281" s="43"/>
      <c r="E281" s="45"/>
    </row>
    <row r="282" spans="1:5" x14ac:dyDescent="0.3">
      <c r="A282" s="54">
        <v>44242</v>
      </c>
      <c r="B282" s="45">
        <v>19174.53</v>
      </c>
      <c r="C282" s="19">
        <f t="shared" si="4"/>
        <v>44255</v>
      </c>
      <c r="D282" s="43"/>
      <c r="E282" s="45"/>
    </row>
    <row r="283" spans="1:5" x14ac:dyDescent="0.3">
      <c r="A283" s="54">
        <v>44243</v>
      </c>
      <c r="B283" s="45">
        <v>19197.73</v>
      </c>
      <c r="C283" s="19">
        <f t="shared" si="4"/>
        <v>44255</v>
      </c>
      <c r="D283" s="43"/>
      <c r="E283" s="45"/>
    </row>
    <row r="284" spans="1:5" x14ac:dyDescent="0.3">
      <c r="A284" s="54">
        <v>44244</v>
      </c>
      <c r="B284" s="45">
        <v>19127.05</v>
      </c>
      <c r="C284" s="19">
        <f t="shared" si="4"/>
        <v>44255</v>
      </c>
      <c r="D284" s="43"/>
      <c r="E284" s="45"/>
    </row>
    <row r="285" spans="1:5" x14ac:dyDescent="0.3">
      <c r="A285" s="54">
        <v>44245</v>
      </c>
      <c r="B285" s="45">
        <v>19079.009999999998</v>
      </c>
      <c r="C285" s="19">
        <f t="shared" si="4"/>
        <v>44255</v>
      </c>
      <c r="D285" s="43"/>
      <c r="E285" s="45"/>
    </row>
    <row r="286" spans="1:5" x14ac:dyDescent="0.3">
      <c r="A286" s="54">
        <v>44246</v>
      </c>
      <c r="B286" s="45">
        <v>18886.34</v>
      </c>
      <c r="C286" s="19">
        <f t="shared" si="4"/>
        <v>44255</v>
      </c>
      <c r="D286" s="43"/>
      <c r="E286" s="45"/>
    </row>
    <row r="287" spans="1:5" x14ac:dyDescent="0.3">
      <c r="A287" s="54">
        <v>44249</v>
      </c>
      <c r="B287" s="45">
        <v>18551.849999999999</v>
      </c>
      <c r="C287" s="19">
        <f t="shared" si="4"/>
        <v>44255</v>
      </c>
      <c r="D287" s="43"/>
      <c r="E287" s="45"/>
    </row>
    <row r="288" spans="1:5" x14ac:dyDescent="0.3">
      <c r="A288" s="54">
        <v>44250</v>
      </c>
      <c r="B288" s="45">
        <v>18629.78</v>
      </c>
      <c r="C288" s="19">
        <f t="shared" si="4"/>
        <v>44255</v>
      </c>
      <c r="D288" s="43"/>
      <c r="E288" s="45"/>
    </row>
    <row r="289" spans="1:5" x14ac:dyDescent="0.3">
      <c r="A289" s="54">
        <v>44251</v>
      </c>
      <c r="B289" s="45">
        <v>18920.72</v>
      </c>
      <c r="C289" s="19">
        <f t="shared" si="4"/>
        <v>44255</v>
      </c>
      <c r="D289" s="43"/>
      <c r="E289" s="45"/>
    </row>
    <row r="290" spans="1:5" x14ac:dyDescent="0.3">
      <c r="A290" s="54">
        <v>44252</v>
      </c>
      <c r="B290" s="45">
        <v>19091.93</v>
      </c>
      <c r="C290" s="19">
        <f t="shared" si="4"/>
        <v>44255</v>
      </c>
      <c r="D290" s="43"/>
      <c r="E290" s="45"/>
    </row>
    <row r="291" spans="1:5" x14ac:dyDescent="0.3">
      <c r="A291" s="54">
        <v>44253</v>
      </c>
      <c r="B291" s="45">
        <v>18504.86</v>
      </c>
      <c r="C291" s="19">
        <f t="shared" si="4"/>
        <v>44255</v>
      </c>
      <c r="D291" s="43"/>
      <c r="E291" s="45"/>
    </row>
    <row r="292" spans="1:5" x14ac:dyDescent="0.3">
      <c r="A292" s="54">
        <v>44256</v>
      </c>
      <c r="B292" s="45">
        <v>18788.79</v>
      </c>
      <c r="C292" s="19">
        <f t="shared" si="4"/>
        <v>44286</v>
      </c>
      <c r="D292" s="43"/>
      <c r="E292" s="45"/>
    </row>
    <row r="293" spans="1:5" x14ac:dyDescent="0.3">
      <c r="A293" s="54">
        <v>44257</v>
      </c>
      <c r="B293" s="45">
        <v>19018.349999999999</v>
      </c>
      <c r="C293" s="19">
        <f t="shared" si="4"/>
        <v>44286</v>
      </c>
      <c r="D293" s="43"/>
      <c r="E293" s="45"/>
    </row>
    <row r="294" spans="1:5" x14ac:dyDescent="0.3">
      <c r="A294" s="54">
        <v>44258</v>
      </c>
      <c r="B294" s="45">
        <v>19391.150000000001</v>
      </c>
      <c r="C294" s="19">
        <f t="shared" si="4"/>
        <v>44286</v>
      </c>
      <c r="D294" s="43"/>
      <c r="E294" s="45"/>
    </row>
    <row r="295" spans="1:5" x14ac:dyDescent="0.3">
      <c r="A295" s="54">
        <v>44259</v>
      </c>
      <c r="B295" s="45">
        <v>19275.759999999998</v>
      </c>
      <c r="C295" s="19">
        <f t="shared" si="4"/>
        <v>44286</v>
      </c>
      <c r="D295" s="43"/>
      <c r="E295" s="45"/>
    </row>
    <row r="296" spans="1:5" x14ac:dyDescent="0.3">
      <c r="A296" s="54">
        <v>44260</v>
      </c>
      <c r="B296" s="45">
        <v>19048.330000000002</v>
      </c>
      <c r="C296" s="19">
        <f t="shared" si="4"/>
        <v>44286</v>
      </c>
      <c r="D296" s="43"/>
      <c r="E296" s="45"/>
    </row>
    <row r="297" spans="1:5" x14ac:dyDescent="0.3">
      <c r="A297" s="54">
        <v>44263</v>
      </c>
      <c r="B297" s="45">
        <v>19080.72</v>
      </c>
      <c r="C297" s="19">
        <f t="shared" si="4"/>
        <v>44286</v>
      </c>
      <c r="D297" s="43"/>
      <c r="E297" s="45"/>
    </row>
    <row r="298" spans="1:5" x14ac:dyDescent="0.3">
      <c r="A298" s="54">
        <v>44264</v>
      </c>
      <c r="B298" s="45">
        <v>19169.29</v>
      </c>
      <c r="C298" s="19">
        <f t="shared" si="4"/>
        <v>44286</v>
      </c>
      <c r="D298" s="43"/>
      <c r="E298" s="45"/>
    </row>
    <row r="299" spans="1:5" x14ac:dyDescent="0.3">
      <c r="A299" s="54">
        <v>44265</v>
      </c>
      <c r="B299" s="45">
        <v>19282.39</v>
      </c>
      <c r="C299" s="19">
        <f t="shared" si="4"/>
        <v>44286</v>
      </c>
      <c r="D299" s="43"/>
      <c r="E299" s="45"/>
    </row>
    <row r="300" spans="1:5" x14ac:dyDescent="0.3">
      <c r="A300" s="54">
        <v>44267</v>
      </c>
      <c r="B300" s="45">
        <v>19134.34</v>
      </c>
      <c r="C300" s="19">
        <f t="shared" si="4"/>
        <v>44286</v>
      </c>
      <c r="D300" s="43"/>
      <c r="E300" s="45"/>
    </row>
    <row r="301" spans="1:5" x14ac:dyDescent="0.3">
      <c r="A301" s="54">
        <v>44270</v>
      </c>
      <c r="B301" s="45">
        <v>19009.240000000002</v>
      </c>
      <c r="C301" s="19">
        <f t="shared" si="4"/>
        <v>44286</v>
      </c>
      <c r="D301" s="43"/>
      <c r="E301" s="45"/>
    </row>
    <row r="302" spans="1:5" x14ac:dyDescent="0.3">
      <c r="A302" s="54">
        <v>44271</v>
      </c>
      <c r="B302" s="45">
        <v>19013.09</v>
      </c>
      <c r="C302" s="19">
        <f t="shared" si="4"/>
        <v>44286</v>
      </c>
      <c r="D302" s="43"/>
      <c r="E302" s="45"/>
    </row>
    <row r="303" spans="1:5" x14ac:dyDescent="0.3">
      <c r="A303" s="54">
        <v>44272</v>
      </c>
      <c r="B303" s="45">
        <v>18720.14</v>
      </c>
      <c r="C303" s="19">
        <f t="shared" si="4"/>
        <v>44286</v>
      </c>
      <c r="D303" s="43"/>
      <c r="E303" s="45"/>
    </row>
    <row r="304" spans="1:5" x14ac:dyDescent="0.3">
      <c r="A304" s="54">
        <v>44273</v>
      </c>
      <c r="B304" s="45">
        <v>18500.439999999999</v>
      </c>
      <c r="C304" s="19">
        <f t="shared" si="4"/>
        <v>44286</v>
      </c>
      <c r="D304" s="43"/>
      <c r="E304" s="45"/>
    </row>
    <row r="305" spans="1:5" x14ac:dyDescent="0.3">
      <c r="A305" s="54">
        <v>44274</v>
      </c>
      <c r="B305" s="45">
        <v>18713.400000000001</v>
      </c>
      <c r="C305" s="19">
        <f t="shared" si="4"/>
        <v>44286</v>
      </c>
      <c r="D305" s="43"/>
      <c r="E305" s="45"/>
    </row>
    <row r="306" spans="1:5" x14ac:dyDescent="0.3">
      <c r="A306" s="54">
        <v>44277</v>
      </c>
      <c r="B306" s="45">
        <v>18751.47</v>
      </c>
      <c r="C306" s="19">
        <f t="shared" si="4"/>
        <v>44286</v>
      </c>
      <c r="D306" s="43"/>
      <c r="E306" s="45"/>
    </row>
    <row r="307" spans="1:5" x14ac:dyDescent="0.3">
      <c r="A307" s="54">
        <v>44278</v>
      </c>
      <c r="B307" s="45">
        <v>18872.96</v>
      </c>
      <c r="C307" s="19">
        <f t="shared" si="4"/>
        <v>44286</v>
      </c>
      <c r="D307" s="43"/>
      <c r="E307" s="45"/>
    </row>
    <row r="308" spans="1:5" x14ac:dyDescent="0.3">
      <c r="A308" s="54">
        <v>44279</v>
      </c>
      <c r="B308" s="45">
        <v>18538.400000000001</v>
      </c>
      <c r="C308" s="19">
        <f t="shared" si="4"/>
        <v>44286</v>
      </c>
      <c r="D308" s="43"/>
      <c r="E308" s="45"/>
    </row>
    <row r="309" spans="1:5" x14ac:dyDescent="0.3">
      <c r="A309" s="54">
        <v>44280</v>
      </c>
      <c r="B309" s="45">
        <v>18229.330000000002</v>
      </c>
      <c r="C309" s="19">
        <f t="shared" si="4"/>
        <v>44286</v>
      </c>
      <c r="D309" s="43"/>
      <c r="E309" s="45"/>
    </row>
    <row r="310" spans="1:5" x14ac:dyDescent="0.3">
      <c r="A310" s="54">
        <v>44281</v>
      </c>
      <c r="B310" s="45">
        <v>18465.849999999999</v>
      </c>
      <c r="C310" s="19">
        <f t="shared" si="4"/>
        <v>44286</v>
      </c>
      <c r="D310" s="43"/>
      <c r="E310" s="45"/>
    </row>
    <row r="311" spans="1:5" x14ac:dyDescent="0.3">
      <c r="A311" s="54">
        <v>44285</v>
      </c>
      <c r="B311" s="45">
        <v>18830.03</v>
      </c>
      <c r="C311" s="19">
        <f t="shared" si="4"/>
        <v>44286</v>
      </c>
      <c r="D311" s="43"/>
      <c r="E311" s="45"/>
    </row>
    <row r="312" spans="1:5" x14ac:dyDescent="0.3">
      <c r="A312" s="54">
        <v>44286</v>
      </c>
      <c r="B312" s="45">
        <v>18717.240000000002</v>
      </c>
      <c r="C312" s="19">
        <f t="shared" si="4"/>
        <v>44286</v>
      </c>
      <c r="D312" s="43"/>
      <c r="E312" s="45"/>
    </row>
    <row r="313" spans="1:5" x14ac:dyDescent="0.3">
      <c r="A313" s="54">
        <v>44287</v>
      </c>
      <c r="B313" s="45">
        <v>18968.55</v>
      </c>
      <c r="C313" s="19">
        <f t="shared" si="4"/>
        <v>44316</v>
      </c>
      <c r="D313" s="43"/>
      <c r="E313" s="45"/>
    </row>
    <row r="314" spans="1:5" x14ac:dyDescent="0.3">
      <c r="A314" s="54">
        <v>44291</v>
      </c>
      <c r="B314" s="45">
        <v>18694.759999999998</v>
      </c>
      <c r="C314" s="19">
        <f t="shared" si="4"/>
        <v>44316</v>
      </c>
      <c r="D314" s="43"/>
      <c r="E314" s="45"/>
    </row>
    <row r="315" spans="1:5" x14ac:dyDescent="0.3">
      <c r="A315" s="54">
        <v>44292</v>
      </c>
      <c r="B315" s="45">
        <v>18785.23</v>
      </c>
      <c r="C315" s="19">
        <f t="shared" si="4"/>
        <v>44316</v>
      </c>
      <c r="D315" s="43"/>
      <c r="E315" s="45"/>
    </row>
    <row r="316" spans="1:5" x14ac:dyDescent="0.3">
      <c r="A316" s="54">
        <v>44293</v>
      </c>
      <c r="B316" s="45">
        <v>18972.599999999999</v>
      </c>
      <c r="C316" s="19">
        <f t="shared" si="4"/>
        <v>44316</v>
      </c>
      <c r="D316" s="43"/>
      <c r="E316" s="45"/>
    </row>
    <row r="317" spans="1:5" x14ac:dyDescent="0.3">
      <c r="A317" s="54">
        <v>44294</v>
      </c>
      <c r="B317" s="45">
        <v>19065.82</v>
      </c>
      <c r="C317" s="19">
        <f t="shared" si="4"/>
        <v>44316</v>
      </c>
      <c r="D317" s="43"/>
      <c r="E317" s="45"/>
    </row>
    <row r="318" spans="1:5" x14ac:dyDescent="0.3">
      <c r="A318" s="54">
        <v>44295</v>
      </c>
      <c r="B318" s="45">
        <v>19044.22</v>
      </c>
      <c r="C318" s="19">
        <f t="shared" si="4"/>
        <v>44316</v>
      </c>
      <c r="D318" s="43"/>
      <c r="E318" s="45"/>
    </row>
    <row r="319" spans="1:5" x14ac:dyDescent="0.3">
      <c r="A319" s="54">
        <v>44298</v>
      </c>
      <c r="B319" s="45">
        <v>18279.05</v>
      </c>
      <c r="C319" s="19">
        <f t="shared" si="4"/>
        <v>44316</v>
      </c>
      <c r="D319" s="43"/>
      <c r="E319" s="45"/>
    </row>
    <row r="320" spans="1:5" x14ac:dyDescent="0.3">
      <c r="A320" s="54">
        <v>44299</v>
      </c>
      <c r="B320" s="45">
        <v>18526.240000000002</v>
      </c>
      <c r="C320" s="19">
        <f t="shared" si="4"/>
        <v>44316</v>
      </c>
      <c r="D320" s="43"/>
      <c r="E320" s="45"/>
    </row>
    <row r="321" spans="1:5" x14ac:dyDescent="0.3">
      <c r="A321" s="54">
        <v>44301</v>
      </c>
      <c r="B321" s="45">
        <v>18603.68</v>
      </c>
      <c r="C321" s="19">
        <f t="shared" si="4"/>
        <v>44316</v>
      </c>
      <c r="D321" s="43"/>
      <c r="E321" s="45"/>
    </row>
    <row r="322" spans="1:5" x14ac:dyDescent="0.3">
      <c r="A322" s="54">
        <v>44302</v>
      </c>
      <c r="B322" s="45">
        <v>18695.580000000002</v>
      </c>
      <c r="C322" s="19">
        <f t="shared" ref="C322:C385" si="5">EOMONTH(A322,0)</f>
        <v>44316</v>
      </c>
      <c r="D322" s="43"/>
      <c r="E322" s="45"/>
    </row>
    <row r="323" spans="1:5" x14ac:dyDescent="0.3">
      <c r="A323" s="54">
        <v>44305</v>
      </c>
      <c r="B323" s="45">
        <v>18359.48</v>
      </c>
      <c r="C323" s="19">
        <f t="shared" si="5"/>
        <v>44316</v>
      </c>
      <c r="D323" s="43"/>
      <c r="E323" s="45"/>
    </row>
    <row r="324" spans="1:5" x14ac:dyDescent="0.3">
      <c r="A324" s="54">
        <v>44306</v>
      </c>
      <c r="B324" s="45">
        <v>18327.47</v>
      </c>
      <c r="C324" s="19">
        <f t="shared" si="5"/>
        <v>44316</v>
      </c>
      <c r="D324" s="43"/>
      <c r="E324" s="45"/>
    </row>
    <row r="325" spans="1:5" x14ac:dyDescent="0.3">
      <c r="A325" s="54">
        <v>44308</v>
      </c>
      <c r="B325" s="45">
        <v>18444.73</v>
      </c>
      <c r="C325" s="19">
        <f t="shared" si="5"/>
        <v>44316</v>
      </c>
      <c r="D325" s="43"/>
      <c r="E325" s="45"/>
    </row>
    <row r="326" spans="1:5" x14ac:dyDescent="0.3">
      <c r="A326" s="54">
        <v>44309</v>
      </c>
      <c r="B326" s="45">
        <v>18404.47</v>
      </c>
      <c r="C326" s="19">
        <f t="shared" si="5"/>
        <v>44316</v>
      </c>
      <c r="D326" s="43"/>
      <c r="E326" s="45"/>
    </row>
    <row r="327" spans="1:5" x14ac:dyDescent="0.3">
      <c r="A327" s="54">
        <v>44313</v>
      </c>
      <c r="B327" s="45">
        <v>18795.169999999998</v>
      </c>
      <c r="C327" s="19">
        <f t="shared" si="5"/>
        <v>44316</v>
      </c>
      <c r="D327" s="43"/>
      <c r="E327" s="45"/>
    </row>
    <row r="328" spans="1:5" x14ac:dyDescent="0.3">
      <c r="A328" s="54">
        <v>44314</v>
      </c>
      <c r="B328" s="45">
        <v>19031.439999999999</v>
      </c>
      <c r="C328" s="19">
        <f t="shared" si="5"/>
        <v>44316</v>
      </c>
      <c r="D328" s="43"/>
      <c r="E328" s="45"/>
    </row>
    <row r="329" spans="1:5" x14ac:dyDescent="0.3">
      <c r="A329" s="54">
        <v>44315</v>
      </c>
      <c r="B329" s="45">
        <v>19058.16</v>
      </c>
      <c r="C329" s="19">
        <f t="shared" si="5"/>
        <v>44316</v>
      </c>
      <c r="D329" s="43"/>
      <c r="E329" s="45"/>
    </row>
    <row r="330" spans="1:5" x14ac:dyDescent="0.3">
      <c r="A330" s="54">
        <v>44316</v>
      </c>
      <c r="B330" s="45">
        <v>18802.03</v>
      </c>
      <c r="C330" s="19">
        <f t="shared" si="5"/>
        <v>44316</v>
      </c>
      <c r="D330" s="43"/>
      <c r="E330" s="45"/>
    </row>
    <row r="331" spans="1:5" x14ac:dyDescent="0.3">
      <c r="A331" s="54">
        <v>44319</v>
      </c>
      <c r="B331" s="45">
        <v>18848.97</v>
      </c>
      <c r="C331" s="19">
        <f t="shared" si="5"/>
        <v>44347</v>
      </c>
      <c r="D331" s="43"/>
      <c r="E331" s="45"/>
    </row>
    <row r="332" spans="1:5" x14ac:dyDescent="0.3">
      <c r="A332" s="54">
        <v>44320</v>
      </c>
      <c r="B332" s="45">
        <v>18704.849999999999</v>
      </c>
      <c r="C332" s="19">
        <f t="shared" si="5"/>
        <v>44347</v>
      </c>
      <c r="D332" s="43"/>
      <c r="E332" s="45"/>
    </row>
    <row r="333" spans="1:5" x14ac:dyDescent="0.3">
      <c r="A333" s="54">
        <v>44321</v>
      </c>
      <c r="B333" s="45">
        <v>18876.03</v>
      </c>
      <c r="C333" s="19">
        <f t="shared" si="5"/>
        <v>44347</v>
      </c>
      <c r="D333" s="43"/>
      <c r="E333" s="45"/>
    </row>
    <row r="334" spans="1:5" x14ac:dyDescent="0.3">
      <c r="A334" s="54">
        <v>44322</v>
      </c>
      <c r="B334" s="45">
        <v>19011.169999999998</v>
      </c>
      <c r="C334" s="19">
        <f t="shared" si="5"/>
        <v>44347</v>
      </c>
      <c r="D334" s="43"/>
      <c r="E334" s="45"/>
    </row>
    <row r="335" spans="1:5" x14ac:dyDescent="0.3">
      <c r="A335" s="54">
        <v>44323</v>
      </c>
      <c r="B335" s="45">
        <v>19104.240000000002</v>
      </c>
      <c r="C335" s="19">
        <f t="shared" si="5"/>
        <v>44347</v>
      </c>
      <c r="D335" s="43"/>
      <c r="E335" s="45"/>
    </row>
    <row r="336" spans="1:5" x14ac:dyDescent="0.3">
      <c r="A336" s="54">
        <v>44326</v>
      </c>
      <c r="B336" s="45">
        <v>19266.669999999998</v>
      </c>
      <c r="C336" s="19">
        <f t="shared" si="5"/>
        <v>44347</v>
      </c>
      <c r="D336" s="43"/>
      <c r="E336" s="45"/>
    </row>
    <row r="337" spans="1:5" x14ac:dyDescent="0.3">
      <c r="A337" s="54">
        <v>44327</v>
      </c>
      <c r="B337" s="45">
        <v>19225.099999999999</v>
      </c>
      <c r="C337" s="19">
        <f t="shared" si="5"/>
        <v>44347</v>
      </c>
      <c r="D337" s="43"/>
      <c r="E337" s="45"/>
    </row>
    <row r="338" spans="1:5" x14ac:dyDescent="0.3">
      <c r="A338" s="54">
        <v>44328</v>
      </c>
      <c r="B338" s="45">
        <v>19066.54</v>
      </c>
      <c r="C338" s="19">
        <f t="shared" si="5"/>
        <v>44347</v>
      </c>
      <c r="D338" s="43"/>
      <c r="E338" s="45"/>
    </row>
    <row r="339" spans="1:5" x14ac:dyDescent="0.3">
      <c r="A339" s="54">
        <v>44330</v>
      </c>
      <c r="B339" s="45">
        <v>18966.490000000002</v>
      </c>
      <c r="C339" s="19">
        <f t="shared" si="5"/>
        <v>44347</v>
      </c>
      <c r="D339" s="43"/>
      <c r="E339" s="45"/>
    </row>
    <row r="340" spans="1:5" x14ac:dyDescent="0.3">
      <c r="A340" s="54">
        <v>44333</v>
      </c>
      <c r="B340" s="45">
        <v>19270.53</v>
      </c>
      <c r="C340" s="19">
        <f t="shared" si="5"/>
        <v>44347</v>
      </c>
      <c r="D340" s="43"/>
      <c r="E340" s="45"/>
    </row>
    <row r="341" spans="1:5" x14ac:dyDescent="0.3">
      <c r="A341" s="54">
        <v>44334</v>
      </c>
      <c r="B341" s="45">
        <v>19524.650000000001</v>
      </c>
      <c r="C341" s="19">
        <f t="shared" si="5"/>
        <v>44347</v>
      </c>
      <c r="D341" s="43"/>
      <c r="E341" s="45"/>
    </row>
    <row r="342" spans="1:5" x14ac:dyDescent="0.3">
      <c r="A342" s="54">
        <v>44335</v>
      </c>
      <c r="B342" s="45">
        <v>19478.900000000001</v>
      </c>
      <c r="C342" s="19">
        <f t="shared" si="5"/>
        <v>44347</v>
      </c>
      <c r="D342" s="43"/>
      <c r="E342" s="45"/>
    </row>
    <row r="343" spans="1:5" x14ac:dyDescent="0.3">
      <c r="A343" s="54">
        <v>44336</v>
      </c>
      <c r="B343" s="45">
        <v>19368.54</v>
      </c>
      <c r="C343" s="19">
        <f t="shared" si="5"/>
        <v>44347</v>
      </c>
      <c r="D343" s="43"/>
      <c r="E343" s="45"/>
    </row>
    <row r="344" spans="1:5" x14ac:dyDescent="0.3">
      <c r="A344" s="54">
        <v>44337</v>
      </c>
      <c r="B344" s="45">
        <v>19644.37</v>
      </c>
      <c r="C344" s="19">
        <f t="shared" si="5"/>
        <v>44347</v>
      </c>
      <c r="D344" s="43"/>
      <c r="E344" s="45"/>
    </row>
    <row r="345" spans="1:5" x14ac:dyDescent="0.3">
      <c r="A345" s="54">
        <v>44340</v>
      </c>
      <c r="B345" s="45">
        <v>19712.23</v>
      </c>
      <c r="C345" s="19">
        <f t="shared" si="5"/>
        <v>44347</v>
      </c>
      <c r="D345" s="43"/>
      <c r="E345" s="45"/>
    </row>
    <row r="346" spans="1:5" x14ac:dyDescent="0.3">
      <c r="A346" s="54">
        <v>44341</v>
      </c>
      <c r="B346" s="45">
        <v>19717.29</v>
      </c>
      <c r="C346" s="19">
        <f t="shared" si="5"/>
        <v>44347</v>
      </c>
      <c r="D346" s="43"/>
      <c r="E346" s="45"/>
    </row>
    <row r="347" spans="1:5" x14ac:dyDescent="0.3">
      <c r="A347" s="54">
        <v>44342</v>
      </c>
      <c r="B347" s="45">
        <v>19807.349999999999</v>
      </c>
      <c r="C347" s="19">
        <f t="shared" si="5"/>
        <v>44347</v>
      </c>
      <c r="D347" s="43"/>
      <c r="E347" s="45"/>
    </row>
    <row r="348" spans="1:5" x14ac:dyDescent="0.3">
      <c r="A348" s="54">
        <v>44343</v>
      </c>
      <c r="B348" s="45">
        <v>19874.32</v>
      </c>
      <c r="C348" s="19">
        <f t="shared" si="5"/>
        <v>44347</v>
      </c>
      <c r="D348" s="43"/>
      <c r="E348" s="45"/>
    </row>
    <row r="349" spans="1:5" x14ac:dyDescent="0.3">
      <c r="A349" s="54">
        <v>44344</v>
      </c>
      <c r="B349" s="45">
        <v>19952.29</v>
      </c>
      <c r="C349" s="19">
        <f t="shared" si="5"/>
        <v>44347</v>
      </c>
      <c r="D349" s="43"/>
      <c r="E349" s="45"/>
    </row>
    <row r="350" spans="1:5" x14ac:dyDescent="0.3">
      <c r="A350" s="54">
        <v>44347</v>
      </c>
      <c r="B350" s="45">
        <v>20138.099999999999</v>
      </c>
      <c r="C350" s="19">
        <f t="shared" si="5"/>
        <v>44347</v>
      </c>
      <c r="D350" s="43"/>
      <c r="E350" s="45"/>
    </row>
    <row r="351" spans="1:5" x14ac:dyDescent="0.3">
      <c r="A351" s="54">
        <v>44348</v>
      </c>
      <c r="B351" s="45">
        <v>20113.79</v>
      </c>
      <c r="C351" s="19">
        <f t="shared" si="5"/>
        <v>44377</v>
      </c>
      <c r="D351" s="43"/>
      <c r="E351" s="45"/>
    </row>
    <row r="352" spans="1:5" x14ac:dyDescent="0.3">
      <c r="A352" s="54">
        <v>44349</v>
      </c>
      <c r="B352" s="45">
        <v>20210.990000000002</v>
      </c>
      <c r="C352" s="19">
        <f t="shared" si="5"/>
        <v>44377</v>
      </c>
      <c r="D352" s="43"/>
      <c r="E352" s="45"/>
    </row>
    <row r="353" spans="1:5" x14ac:dyDescent="0.3">
      <c r="A353" s="54">
        <v>44350</v>
      </c>
      <c r="B353" s="45">
        <v>20376.14</v>
      </c>
      <c r="C353" s="19">
        <f t="shared" si="5"/>
        <v>44377</v>
      </c>
      <c r="D353" s="43"/>
      <c r="E353" s="45"/>
    </row>
    <row r="354" spans="1:5" x14ac:dyDescent="0.3">
      <c r="A354" s="54">
        <v>44351</v>
      </c>
      <c r="B354" s="45">
        <v>20396.669999999998</v>
      </c>
      <c r="C354" s="19">
        <f t="shared" si="5"/>
        <v>44377</v>
      </c>
      <c r="D354" s="43"/>
      <c r="E354" s="45"/>
    </row>
    <row r="355" spans="1:5" x14ac:dyDescent="0.3">
      <c r="A355" s="54">
        <v>44354</v>
      </c>
      <c r="B355" s="45">
        <v>20527.27</v>
      </c>
      <c r="C355" s="19">
        <f t="shared" si="5"/>
        <v>44377</v>
      </c>
      <c r="D355" s="43"/>
      <c r="E355" s="45"/>
    </row>
    <row r="356" spans="1:5" x14ac:dyDescent="0.3">
      <c r="A356" s="54">
        <v>44355</v>
      </c>
      <c r="B356" s="45">
        <v>20553.02</v>
      </c>
      <c r="C356" s="19">
        <f t="shared" si="5"/>
        <v>44377</v>
      </c>
      <c r="D356" s="43"/>
      <c r="E356" s="45"/>
    </row>
    <row r="357" spans="1:5" x14ac:dyDescent="0.3">
      <c r="A357" s="54">
        <v>44356</v>
      </c>
      <c r="B357" s="45">
        <v>20400.55</v>
      </c>
      <c r="C357" s="19">
        <f t="shared" si="5"/>
        <v>44377</v>
      </c>
      <c r="D357" s="43"/>
      <c r="E357" s="45"/>
    </row>
    <row r="358" spans="1:5" x14ac:dyDescent="0.3">
      <c r="A358" s="54">
        <v>44357</v>
      </c>
      <c r="B358" s="45">
        <v>20596.64</v>
      </c>
      <c r="C358" s="19">
        <f t="shared" si="5"/>
        <v>44377</v>
      </c>
      <c r="D358" s="43"/>
      <c r="E358" s="45"/>
    </row>
    <row r="359" spans="1:5" x14ac:dyDescent="0.3">
      <c r="A359" s="54">
        <v>44358</v>
      </c>
      <c r="B359" s="45">
        <v>20672.330000000002</v>
      </c>
      <c r="C359" s="19">
        <f t="shared" si="5"/>
        <v>44377</v>
      </c>
      <c r="D359" s="43"/>
      <c r="E359" s="45"/>
    </row>
    <row r="360" spans="1:5" x14ac:dyDescent="0.3">
      <c r="A360" s="54">
        <v>44361</v>
      </c>
      <c r="B360" s="45">
        <v>20660.97</v>
      </c>
      <c r="C360" s="19">
        <f t="shared" si="5"/>
        <v>44377</v>
      </c>
      <c r="D360" s="43"/>
      <c r="E360" s="45"/>
    </row>
    <row r="361" spans="1:5" x14ac:dyDescent="0.3">
      <c r="A361" s="54">
        <v>44362</v>
      </c>
      <c r="B361" s="45">
        <v>20742.75</v>
      </c>
      <c r="C361" s="19">
        <f t="shared" si="5"/>
        <v>44377</v>
      </c>
      <c r="D361" s="43"/>
      <c r="E361" s="45"/>
    </row>
    <row r="362" spans="1:5" x14ac:dyDescent="0.3">
      <c r="A362" s="54">
        <v>44363</v>
      </c>
      <c r="B362" s="45">
        <v>20595.05</v>
      </c>
      <c r="C362" s="19">
        <f t="shared" si="5"/>
        <v>44377</v>
      </c>
      <c r="D362" s="43"/>
      <c r="E362" s="45"/>
    </row>
    <row r="363" spans="1:5" x14ac:dyDescent="0.3">
      <c r="A363" s="54">
        <v>44364</v>
      </c>
      <c r="B363" s="45">
        <v>20470.400000000001</v>
      </c>
      <c r="C363" s="19">
        <f t="shared" si="5"/>
        <v>44377</v>
      </c>
      <c r="D363" s="43"/>
      <c r="E363" s="45"/>
    </row>
    <row r="364" spans="1:5" x14ac:dyDescent="0.3">
      <c r="A364" s="54">
        <v>44365</v>
      </c>
      <c r="B364" s="45">
        <v>20411.66</v>
      </c>
      <c r="C364" s="19">
        <f t="shared" si="5"/>
        <v>44377</v>
      </c>
      <c r="D364" s="43"/>
      <c r="E364" s="45"/>
    </row>
    <row r="365" spans="1:5" x14ac:dyDescent="0.3">
      <c r="A365" s="54">
        <v>44368</v>
      </c>
      <c r="B365" s="45">
        <v>20518.07</v>
      </c>
      <c r="C365" s="19">
        <f t="shared" si="5"/>
        <v>44377</v>
      </c>
      <c r="D365" s="43"/>
      <c r="E365" s="45"/>
    </row>
    <row r="366" spans="1:5" x14ac:dyDescent="0.3">
      <c r="A366" s="54">
        <v>44369</v>
      </c>
      <c r="B366" s="45">
        <v>20571.439999999999</v>
      </c>
      <c r="C366" s="19">
        <f t="shared" si="5"/>
        <v>44377</v>
      </c>
      <c r="D366" s="43"/>
      <c r="E366" s="45"/>
    </row>
    <row r="367" spans="1:5" x14ac:dyDescent="0.3">
      <c r="A367" s="54">
        <v>44370</v>
      </c>
      <c r="B367" s="45">
        <v>20468.099999999999</v>
      </c>
      <c r="C367" s="19">
        <f t="shared" si="5"/>
        <v>44377</v>
      </c>
      <c r="D367" s="43"/>
      <c r="E367" s="45"/>
    </row>
    <row r="368" spans="1:5" x14ac:dyDescent="0.3">
      <c r="A368" s="54">
        <v>44371</v>
      </c>
      <c r="B368" s="45">
        <v>20537.580000000002</v>
      </c>
      <c r="C368" s="19">
        <f t="shared" si="5"/>
        <v>44377</v>
      </c>
      <c r="D368" s="43"/>
      <c r="E368" s="45"/>
    </row>
    <row r="369" spans="1:5" x14ac:dyDescent="0.3">
      <c r="A369" s="54">
        <v>44372</v>
      </c>
      <c r="B369" s="45">
        <v>20646.099999999999</v>
      </c>
      <c r="C369" s="19">
        <f t="shared" si="5"/>
        <v>44377</v>
      </c>
      <c r="D369" s="43"/>
      <c r="E369" s="45"/>
    </row>
    <row r="370" spans="1:5" x14ac:dyDescent="0.3">
      <c r="A370" s="54">
        <v>44375</v>
      </c>
      <c r="B370" s="45">
        <v>20636.45</v>
      </c>
      <c r="C370" s="19">
        <f t="shared" si="5"/>
        <v>44377</v>
      </c>
      <c r="D370" s="43"/>
      <c r="E370" s="45"/>
    </row>
    <row r="371" spans="1:5" x14ac:dyDescent="0.3">
      <c r="A371" s="54">
        <v>44376</v>
      </c>
      <c r="B371" s="45">
        <v>20564.62</v>
      </c>
      <c r="C371" s="19">
        <f t="shared" si="5"/>
        <v>44377</v>
      </c>
      <c r="D371" s="43"/>
      <c r="E371" s="45"/>
    </row>
    <row r="372" spans="1:5" x14ac:dyDescent="0.3">
      <c r="A372" s="54">
        <v>44377</v>
      </c>
      <c r="B372" s="45">
        <v>20552.2</v>
      </c>
      <c r="C372" s="19">
        <f t="shared" si="5"/>
        <v>44377</v>
      </c>
      <c r="D372" s="43"/>
      <c r="E372" s="45"/>
    </row>
    <row r="373" spans="1:5" x14ac:dyDescent="0.3">
      <c r="A373" s="54">
        <v>44378</v>
      </c>
      <c r="B373" s="45">
        <v>20524.09</v>
      </c>
      <c r="C373" s="19">
        <f t="shared" si="5"/>
        <v>44408</v>
      </c>
      <c r="D373" s="43"/>
      <c r="E373" s="45"/>
    </row>
    <row r="374" spans="1:5" x14ac:dyDescent="0.3">
      <c r="A374" s="54">
        <v>44379</v>
      </c>
      <c r="B374" s="45">
        <v>20585.64</v>
      </c>
      <c r="C374" s="19">
        <f t="shared" si="5"/>
        <v>44408</v>
      </c>
      <c r="D374" s="43"/>
      <c r="E374" s="45"/>
    </row>
    <row r="375" spans="1:5" x14ac:dyDescent="0.3">
      <c r="A375" s="54">
        <v>44382</v>
      </c>
      <c r="B375" s="45">
        <v>20726.43</v>
      </c>
      <c r="C375" s="19">
        <f t="shared" si="5"/>
        <v>44408</v>
      </c>
      <c r="D375" s="43"/>
      <c r="E375" s="45"/>
    </row>
    <row r="376" spans="1:5" x14ac:dyDescent="0.3">
      <c r="A376" s="54">
        <v>44383</v>
      </c>
      <c r="B376" s="45">
        <v>20709.59</v>
      </c>
      <c r="C376" s="19">
        <f t="shared" si="5"/>
        <v>44408</v>
      </c>
      <c r="D376" s="43"/>
      <c r="E376" s="45"/>
    </row>
    <row r="377" spans="1:5" x14ac:dyDescent="0.3">
      <c r="A377" s="54">
        <v>44384</v>
      </c>
      <c r="B377" s="45">
        <v>20796.330000000002</v>
      </c>
      <c r="C377" s="19">
        <f t="shared" si="5"/>
        <v>44408</v>
      </c>
      <c r="D377" s="43"/>
      <c r="E377" s="45"/>
    </row>
    <row r="378" spans="1:5" x14ac:dyDescent="0.3">
      <c r="A378" s="54">
        <v>44385</v>
      </c>
      <c r="B378" s="45">
        <v>20651.57</v>
      </c>
      <c r="C378" s="19">
        <f t="shared" si="5"/>
        <v>44408</v>
      </c>
      <c r="D378" s="43"/>
      <c r="E378" s="45"/>
    </row>
    <row r="379" spans="1:5" x14ac:dyDescent="0.3">
      <c r="A379" s="54">
        <v>44386</v>
      </c>
      <c r="B379" s="45">
        <v>20645.03</v>
      </c>
      <c r="C379" s="19">
        <f t="shared" si="5"/>
        <v>44408</v>
      </c>
      <c r="D379" s="43"/>
      <c r="E379" s="45"/>
    </row>
    <row r="380" spans="1:5" x14ac:dyDescent="0.3">
      <c r="A380" s="54">
        <v>44389</v>
      </c>
      <c r="B380" s="45">
        <v>20677.41</v>
      </c>
      <c r="C380" s="19">
        <f t="shared" si="5"/>
        <v>44408</v>
      </c>
      <c r="D380" s="43"/>
      <c r="E380" s="45"/>
    </row>
    <row r="381" spans="1:5" x14ac:dyDescent="0.3">
      <c r="A381" s="54">
        <v>44390</v>
      </c>
      <c r="B381" s="45">
        <v>20799.349999999999</v>
      </c>
      <c r="C381" s="19">
        <f t="shared" si="5"/>
        <v>44408</v>
      </c>
      <c r="D381" s="43"/>
      <c r="E381" s="45"/>
    </row>
    <row r="382" spans="1:5" x14ac:dyDescent="0.3">
      <c r="A382" s="54">
        <v>44391</v>
      </c>
      <c r="B382" s="45">
        <v>20849.7</v>
      </c>
      <c r="C382" s="19">
        <f t="shared" si="5"/>
        <v>44408</v>
      </c>
      <c r="D382" s="43"/>
      <c r="E382" s="45"/>
    </row>
    <row r="383" spans="1:5" x14ac:dyDescent="0.3">
      <c r="A383" s="54">
        <v>44392</v>
      </c>
      <c r="B383" s="45">
        <v>20944.04</v>
      </c>
      <c r="C383" s="19">
        <f t="shared" si="5"/>
        <v>44408</v>
      </c>
      <c r="D383" s="43"/>
      <c r="E383" s="45"/>
    </row>
    <row r="384" spans="1:5" x14ac:dyDescent="0.3">
      <c r="A384" s="54">
        <v>44393</v>
      </c>
      <c r="B384" s="45">
        <v>20977.88</v>
      </c>
      <c r="C384" s="19">
        <f t="shared" si="5"/>
        <v>44408</v>
      </c>
      <c r="D384" s="43"/>
      <c r="E384" s="45"/>
    </row>
    <row r="385" spans="1:5" x14ac:dyDescent="0.3">
      <c r="A385" s="54">
        <v>44396</v>
      </c>
      <c r="B385" s="45">
        <v>20791.939999999999</v>
      </c>
      <c r="C385" s="19">
        <f t="shared" si="5"/>
        <v>44408</v>
      </c>
      <c r="D385" s="43"/>
      <c r="E385" s="45"/>
    </row>
    <row r="386" spans="1:5" x14ac:dyDescent="0.3">
      <c r="A386" s="54">
        <v>44397</v>
      </c>
      <c r="B386" s="45">
        <v>20602.8</v>
      </c>
      <c r="C386" s="19">
        <f t="shared" ref="C386:C449" si="6">EOMONTH(A386,0)</f>
        <v>44408</v>
      </c>
      <c r="D386" s="43"/>
      <c r="E386" s="45"/>
    </row>
    <row r="387" spans="1:5" x14ac:dyDescent="0.3">
      <c r="A387" s="54">
        <v>44399</v>
      </c>
      <c r="B387" s="45">
        <v>20871.080000000002</v>
      </c>
      <c r="C387" s="19">
        <f t="shared" si="6"/>
        <v>44408</v>
      </c>
      <c r="D387" s="43"/>
      <c r="E387" s="45"/>
    </row>
    <row r="388" spans="1:5" x14ac:dyDescent="0.3">
      <c r="A388" s="54">
        <v>44400</v>
      </c>
      <c r="B388" s="45">
        <v>20900.63</v>
      </c>
      <c r="C388" s="19">
        <f t="shared" si="6"/>
        <v>44408</v>
      </c>
      <c r="D388" s="43"/>
      <c r="E388" s="45"/>
    </row>
    <row r="389" spans="1:5" x14ac:dyDescent="0.3">
      <c r="A389" s="54">
        <v>44403</v>
      </c>
      <c r="B389" s="45">
        <v>20882.53</v>
      </c>
      <c r="C389" s="19">
        <f t="shared" si="6"/>
        <v>44408</v>
      </c>
      <c r="D389" s="43"/>
      <c r="E389" s="45"/>
    </row>
    <row r="390" spans="1:5" x14ac:dyDescent="0.3">
      <c r="A390" s="54">
        <v>44404</v>
      </c>
      <c r="B390" s="45">
        <v>20785.77</v>
      </c>
      <c r="C390" s="19">
        <f t="shared" si="6"/>
        <v>44408</v>
      </c>
      <c r="D390" s="43"/>
      <c r="E390" s="45"/>
    </row>
    <row r="391" spans="1:5" x14ac:dyDescent="0.3">
      <c r="A391" s="54">
        <v>44405</v>
      </c>
      <c r="B391" s="45">
        <v>20742.919999999998</v>
      </c>
      <c r="C391" s="19">
        <f t="shared" si="6"/>
        <v>44408</v>
      </c>
      <c r="D391" s="43"/>
      <c r="E391" s="45"/>
    </row>
    <row r="392" spans="1:5" x14ac:dyDescent="0.3">
      <c r="A392" s="54">
        <v>44406</v>
      </c>
      <c r="B392" s="45">
        <v>20845.169999999998</v>
      </c>
      <c r="C392" s="19">
        <f t="shared" si="6"/>
        <v>44408</v>
      </c>
      <c r="D392" s="43"/>
      <c r="E392" s="45"/>
    </row>
    <row r="393" spans="1:5" x14ac:dyDescent="0.3">
      <c r="A393" s="54">
        <v>44407</v>
      </c>
      <c r="B393" s="45">
        <v>20876.599999999999</v>
      </c>
      <c r="C393" s="19">
        <f t="shared" si="6"/>
        <v>44408</v>
      </c>
      <c r="D393" s="43"/>
      <c r="E393" s="45"/>
    </row>
    <row r="394" spans="1:5" x14ac:dyDescent="0.3">
      <c r="A394" s="54">
        <v>44410</v>
      </c>
      <c r="B394" s="45">
        <v>21060.19</v>
      </c>
      <c r="C394" s="19">
        <f t="shared" si="6"/>
        <v>44439</v>
      </c>
      <c r="D394" s="43"/>
      <c r="E394" s="45"/>
    </row>
    <row r="395" spans="1:5" x14ac:dyDescent="0.3">
      <c r="A395" s="54">
        <v>44411</v>
      </c>
      <c r="B395" s="45">
        <v>21297.96</v>
      </c>
      <c r="C395" s="19">
        <f t="shared" si="6"/>
        <v>44439</v>
      </c>
      <c r="D395" s="43"/>
      <c r="E395" s="45"/>
    </row>
    <row r="396" spans="1:5" x14ac:dyDescent="0.3">
      <c r="A396" s="54">
        <v>44412</v>
      </c>
      <c r="B396" s="45">
        <v>21344.42</v>
      </c>
      <c r="C396" s="19">
        <f t="shared" si="6"/>
        <v>44439</v>
      </c>
      <c r="D396" s="43"/>
      <c r="E396" s="45"/>
    </row>
    <row r="397" spans="1:5" x14ac:dyDescent="0.3">
      <c r="A397" s="54">
        <v>44413</v>
      </c>
      <c r="B397" s="45">
        <v>21365.73</v>
      </c>
      <c r="C397" s="19">
        <f t="shared" si="6"/>
        <v>44439</v>
      </c>
      <c r="D397" s="43"/>
      <c r="E397" s="45"/>
    </row>
    <row r="398" spans="1:5" x14ac:dyDescent="0.3">
      <c r="A398" s="54">
        <v>44414</v>
      </c>
      <c r="B398" s="45">
        <v>21324.85</v>
      </c>
      <c r="C398" s="19">
        <f t="shared" si="6"/>
        <v>44439</v>
      </c>
      <c r="D398" s="43"/>
      <c r="E398" s="45"/>
    </row>
    <row r="399" spans="1:5" x14ac:dyDescent="0.3">
      <c r="A399" s="54">
        <v>44417</v>
      </c>
      <c r="B399" s="45">
        <v>21296.21</v>
      </c>
      <c r="C399" s="19">
        <f t="shared" si="6"/>
        <v>44439</v>
      </c>
      <c r="D399" s="43"/>
      <c r="E399" s="45"/>
    </row>
    <row r="400" spans="1:5" x14ac:dyDescent="0.3">
      <c r="A400" s="54">
        <v>44418</v>
      </c>
      <c r="B400" s="45">
        <v>21232.02</v>
      </c>
      <c r="C400" s="19">
        <f t="shared" si="6"/>
        <v>44439</v>
      </c>
      <c r="D400" s="43"/>
      <c r="E400" s="45"/>
    </row>
    <row r="401" spans="1:5" x14ac:dyDescent="0.3">
      <c r="A401" s="54">
        <v>44419</v>
      </c>
      <c r="B401" s="45">
        <v>21208.2</v>
      </c>
      <c r="C401" s="19">
        <f t="shared" si="6"/>
        <v>44439</v>
      </c>
      <c r="D401" s="43"/>
      <c r="E401" s="45"/>
    </row>
    <row r="402" spans="1:5" x14ac:dyDescent="0.3">
      <c r="A402" s="54">
        <v>44420</v>
      </c>
      <c r="B402" s="45">
        <v>21355.83</v>
      </c>
      <c r="C402" s="19">
        <f t="shared" si="6"/>
        <v>44439</v>
      </c>
      <c r="D402" s="43"/>
      <c r="E402" s="45"/>
    </row>
    <row r="403" spans="1:5" x14ac:dyDescent="0.3">
      <c r="A403" s="54">
        <v>44421</v>
      </c>
      <c r="B403" s="45">
        <v>21498.959999999999</v>
      </c>
      <c r="C403" s="19">
        <f t="shared" si="6"/>
        <v>44439</v>
      </c>
      <c r="D403" s="43"/>
      <c r="E403" s="45"/>
    </row>
    <row r="404" spans="1:5" x14ac:dyDescent="0.3">
      <c r="A404" s="54">
        <v>44424</v>
      </c>
      <c r="B404" s="45">
        <v>21507.33</v>
      </c>
      <c r="C404" s="19">
        <f t="shared" si="6"/>
        <v>44439</v>
      </c>
      <c r="D404" s="43"/>
      <c r="E404" s="45"/>
    </row>
    <row r="405" spans="1:5" x14ac:dyDescent="0.3">
      <c r="A405" s="54">
        <v>44425</v>
      </c>
      <c r="B405" s="45">
        <v>21573.22</v>
      </c>
      <c r="C405" s="19">
        <f t="shared" si="6"/>
        <v>44439</v>
      </c>
      <c r="D405" s="43"/>
      <c r="E405" s="45"/>
    </row>
    <row r="406" spans="1:5" x14ac:dyDescent="0.3">
      <c r="A406" s="54">
        <v>44426</v>
      </c>
      <c r="B406" s="45">
        <v>21547.14</v>
      </c>
      <c r="C406" s="19">
        <f t="shared" si="6"/>
        <v>44439</v>
      </c>
      <c r="D406" s="43"/>
      <c r="E406" s="45"/>
    </row>
    <row r="407" spans="1:5" x14ac:dyDescent="0.3">
      <c r="A407" s="54">
        <v>44428</v>
      </c>
      <c r="B407" s="45">
        <v>21315.55</v>
      </c>
      <c r="C407" s="19">
        <f t="shared" si="6"/>
        <v>44439</v>
      </c>
      <c r="D407" s="43"/>
      <c r="E407" s="45"/>
    </row>
    <row r="408" spans="1:5" x14ac:dyDescent="0.3">
      <c r="A408" s="54">
        <v>44431</v>
      </c>
      <c r="B408" s="45">
        <v>21296</v>
      </c>
      <c r="C408" s="19">
        <f t="shared" si="6"/>
        <v>44439</v>
      </c>
      <c r="D408" s="43"/>
      <c r="E408" s="45"/>
    </row>
    <row r="409" spans="1:5" x14ac:dyDescent="0.3">
      <c r="A409" s="54">
        <v>44432</v>
      </c>
      <c r="B409" s="45">
        <v>21499</v>
      </c>
      <c r="C409" s="19">
        <f t="shared" si="6"/>
        <v>44439</v>
      </c>
      <c r="D409" s="43"/>
      <c r="E409" s="45"/>
    </row>
    <row r="410" spans="1:5" x14ac:dyDescent="0.3">
      <c r="A410" s="54">
        <v>44433</v>
      </c>
      <c r="B410" s="45">
        <v>21545.48</v>
      </c>
      <c r="C410" s="19">
        <f t="shared" si="6"/>
        <v>44439</v>
      </c>
      <c r="D410" s="43"/>
      <c r="E410" s="45"/>
    </row>
    <row r="411" spans="1:5" x14ac:dyDescent="0.3">
      <c r="A411" s="54">
        <v>44434</v>
      </c>
      <c r="B411" s="45">
        <v>21566.38</v>
      </c>
      <c r="C411" s="19">
        <f t="shared" si="6"/>
        <v>44439</v>
      </c>
      <c r="D411" s="43"/>
      <c r="E411" s="45"/>
    </row>
    <row r="412" spans="1:5" x14ac:dyDescent="0.3">
      <c r="A412" s="54">
        <v>44435</v>
      </c>
      <c r="B412" s="45">
        <v>21697.34</v>
      </c>
      <c r="C412" s="19">
        <f t="shared" si="6"/>
        <v>44439</v>
      </c>
      <c r="D412" s="43"/>
      <c r="E412" s="45"/>
    </row>
    <row r="413" spans="1:5" x14ac:dyDescent="0.3">
      <c r="A413" s="54">
        <v>44438</v>
      </c>
      <c r="B413" s="45">
        <v>22011.32</v>
      </c>
      <c r="C413" s="19">
        <f t="shared" si="6"/>
        <v>44439</v>
      </c>
      <c r="D413" s="43"/>
      <c r="E413" s="45"/>
    </row>
    <row r="414" spans="1:5" x14ac:dyDescent="0.3">
      <c r="A414" s="54">
        <v>44439</v>
      </c>
      <c r="B414" s="45">
        <v>22253.61</v>
      </c>
      <c r="C414" s="19">
        <f t="shared" si="6"/>
        <v>44439</v>
      </c>
      <c r="D414" s="43"/>
      <c r="E414" s="45"/>
    </row>
    <row r="415" spans="1:5" x14ac:dyDescent="0.3">
      <c r="A415" s="54">
        <v>44440</v>
      </c>
      <c r="B415" s="45">
        <v>22246.76</v>
      </c>
      <c r="C415" s="19">
        <f t="shared" si="6"/>
        <v>44469</v>
      </c>
      <c r="D415" s="43"/>
      <c r="E415" s="45"/>
    </row>
    <row r="416" spans="1:5" x14ac:dyDescent="0.3">
      <c r="A416" s="54">
        <v>44441</v>
      </c>
      <c r="B416" s="45">
        <v>22452</v>
      </c>
      <c r="C416" s="19">
        <f t="shared" si="6"/>
        <v>44469</v>
      </c>
      <c r="D416" s="43"/>
      <c r="E416" s="45"/>
    </row>
    <row r="417" spans="1:5" x14ac:dyDescent="0.3">
      <c r="A417" s="54">
        <v>44442</v>
      </c>
      <c r="B417" s="45">
        <v>22566.65</v>
      </c>
      <c r="C417" s="19">
        <f t="shared" si="6"/>
        <v>44469</v>
      </c>
      <c r="D417" s="43"/>
      <c r="E417" s="45"/>
    </row>
    <row r="418" spans="1:5" x14ac:dyDescent="0.3">
      <c r="A418" s="54">
        <v>44445</v>
      </c>
      <c r="B418" s="45">
        <v>22637.89</v>
      </c>
      <c r="C418" s="19">
        <f t="shared" si="6"/>
        <v>44469</v>
      </c>
      <c r="D418" s="43"/>
      <c r="E418" s="45"/>
    </row>
    <row r="419" spans="1:5" x14ac:dyDescent="0.3">
      <c r="A419" s="54">
        <v>44446</v>
      </c>
      <c r="B419" s="45">
        <v>22604.92</v>
      </c>
      <c r="C419" s="19">
        <f t="shared" si="6"/>
        <v>44469</v>
      </c>
      <c r="D419" s="43"/>
      <c r="E419" s="45"/>
    </row>
    <row r="420" spans="1:5" x14ac:dyDescent="0.3">
      <c r="A420" s="54">
        <v>44447</v>
      </c>
      <c r="B420" s="45">
        <v>22641.43</v>
      </c>
      <c r="C420" s="19">
        <f t="shared" si="6"/>
        <v>44469</v>
      </c>
      <c r="D420" s="43"/>
      <c r="E420" s="45"/>
    </row>
    <row r="421" spans="1:5" x14ac:dyDescent="0.3">
      <c r="A421" s="54">
        <v>44448</v>
      </c>
      <c r="B421" s="45">
        <v>22691.66</v>
      </c>
      <c r="C421" s="19">
        <f t="shared" si="6"/>
        <v>44469</v>
      </c>
      <c r="D421" s="43"/>
      <c r="E421" s="45"/>
    </row>
    <row r="422" spans="1:5" x14ac:dyDescent="0.3">
      <c r="A422" s="54">
        <v>44452</v>
      </c>
      <c r="B422" s="45">
        <v>22716.99</v>
      </c>
      <c r="C422" s="19">
        <f t="shared" si="6"/>
        <v>44469</v>
      </c>
      <c r="D422" s="43"/>
      <c r="E422" s="45"/>
    </row>
    <row r="423" spans="1:5" x14ac:dyDescent="0.3">
      <c r="A423" s="54">
        <v>44453</v>
      </c>
      <c r="B423" s="45">
        <v>22797.33</v>
      </c>
      <c r="C423" s="19">
        <f t="shared" si="6"/>
        <v>44469</v>
      </c>
      <c r="D423" s="43"/>
      <c r="E423" s="45"/>
    </row>
    <row r="424" spans="1:5" x14ac:dyDescent="0.3">
      <c r="A424" s="54">
        <v>44454</v>
      </c>
      <c r="B424" s="45">
        <v>22975.200000000001</v>
      </c>
      <c r="C424" s="19">
        <f t="shared" si="6"/>
        <v>44469</v>
      </c>
      <c r="D424" s="43"/>
      <c r="E424" s="45"/>
    </row>
    <row r="425" spans="1:5" x14ac:dyDescent="0.3">
      <c r="A425" s="54">
        <v>44455</v>
      </c>
      <c r="B425" s="45">
        <v>23106.080000000002</v>
      </c>
      <c r="C425" s="19">
        <f t="shared" si="6"/>
        <v>44469</v>
      </c>
      <c r="D425" s="43"/>
      <c r="E425" s="45"/>
    </row>
    <row r="426" spans="1:5" x14ac:dyDescent="0.3">
      <c r="A426" s="54">
        <v>44456</v>
      </c>
      <c r="B426" s="45">
        <v>22987.759999999998</v>
      </c>
      <c r="C426" s="19">
        <f t="shared" si="6"/>
        <v>44469</v>
      </c>
      <c r="D426" s="43"/>
      <c r="E426" s="45"/>
    </row>
    <row r="427" spans="1:5" x14ac:dyDescent="0.3">
      <c r="A427" s="54">
        <v>44459</v>
      </c>
      <c r="B427" s="45">
        <v>22681.84</v>
      </c>
      <c r="C427" s="19">
        <f t="shared" si="6"/>
        <v>44469</v>
      </c>
      <c r="D427" s="43"/>
      <c r="E427" s="45"/>
    </row>
    <row r="428" spans="1:5" x14ac:dyDescent="0.3">
      <c r="A428" s="54">
        <v>44460</v>
      </c>
      <c r="B428" s="45">
        <v>22865.1</v>
      </c>
      <c r="C428" s="19">
        <f t="shared" si="6"/>
        <v>44469</v>
      </c>
      <c r="D428" s="43"/>
      <c r="E428" s="45"/>
    </row>
    <row r="429" spans="1:5" x14ac:dyDescent="0.3">
      <c r="A429" s="54">
        <v>44461</v>
      </c>
      <c r="B429" s="45">
        <v>22932.93</v>
      </c>
      <c r="C429" s="19">
        <f t="shared" si="6"/>
        <v>44469</v>
      </c>
      <c r="D429" s="43"/>
      <c r="E429" s="45"/>
    </row>
    <row r="430" spans="1:5" x14ac:dyDescent="0.3">
      <c r="A430" s="54">
        <v>44462</v>
      </c>
      <c r="B430" s="45">
        <v>23261.84</v>
      </c>
      <c r="C430" s="19">
        <f t="shared" si="6"/>
        <v>44469</v>
      </c>
      <c r="D430" s="43"/>
      <c r="E430" s="45"/>
    </row>
    <row r="431" spans="1:5" x14ac:dyDescent="0.3">
      <c r="A431" s="54">
        <v>44463</v>
      </c>
      <c r="B431" s="45">
        <v>23241.27</v>
      </c>
      <c r="C431" s="19">
        <f t="shared" si="6"/>
        <v>44469</v>
      </c>
      <c r="D431" s="43"/>
      <c r="E431" s="45"/>
    </row>
    <row r="432" spans="1:5" x14ac:dyDescent="0.3">
      <c r="A432" s="54">
        <v>44466</v>
      </c>
      <c r="B432" s="45">
        <v>23236.799999999999</v>
      </c>
      <c r="C432" s="19">
        <f t="shared" si="6"/>
        <v>44469</v>
      </c>
      <c r="D432" s="43"/>
      <c r="E432" s="45"/>
    </row>
    <row r="433" spans="1:5" x14ac:dyDescent="0.3">
      <c r="A433" s="54">
        <v>44467</v>
      </c>
      <c r="B433" s="45">
        <v>23094.75</v>
      </c>
      <c r="C433" s="19">
        <f t="shared" si="6"/>
        <v>44469</v>
      </c>
      <c r="D433" s="43"/>
      <c r="E433" s="45"/>
    </row>
    <row r="434" spans="1:5" x14ac:dyDescent="0.3">
      <c r="A434" s="54">
        <v>44468</v>
      </c>
      <c r="B434" s="45">
        <v>23081.51</v>
      </c>
      <c r="C434" s="19">
        <f t="shared" si="6"/>
        <v>44469</v>
      </c>
      <c r="D434" s="43"/>
      <c r="E434" s="45"/>
    </row>
    <row r="435" spans="1:5" x14ac:dyDescent="0.3">
      <c r="A435" s="54">
        <v>44469</v>
      </c>
      <c r="B435" s="45">
        <v>23029.08</v>
      </c>
      <c r="C435" s="19">
        <f t="shared" si="6"/>
        <v>44469</v>
      </c>
      <c r="D435" s="43"/>
      <c r="E435" s="45"/>
    </row>
    <row r="436" spans="1:5" x14ac:dyDescent="0.3">
      <c r="A436" s="54">
        <v>44470</v>
      </c>
      <c r="B436" s="45">
        <v>22969.86</v>
      </c>
      <c r="C436" s="19">
        <f t="shared" si="6"/>
        <v>44500</v>
      </c>
      <c r="D436" s="43"/>
      <c r="E436" s="45"/>
    </row>
    <row r="437" spans="1:5" x14ac:dyDescent="0.3">
      <c r="A437" s="54">
        <v>44473</v>
      </c>
      <c r="B437" s="45">
        <v>23225.63</v>
      </c>
      <c r="C437" s="19">
        <f t="shared" si="6"/>
        <v>44500</v>
      </c>
      <c r="D437" s="43"/>
      <c r="E437" s="45"/>
    </row>
    <row r="438" spans="1:5" x14ac:dyDescent="0.3">
      <c r="A438" s="54">
        <v>44474</v>
      </c>
      <c r="B438" s="45">
        <v>23377.08</v>
      </c>
      <c r="C438" s="19">
        <f t="shared" si="6"/>
        <v>44500</v>
      </c>
      <c r="D438" s="43"/>
      <c r="E438" s="45"/>
    </row>
    <row r="439" spans="1:5" x14ac:dyDescent="0.3">
      <c r="A439" s="54">
        <v>44475</v>
      </c>
      <c r="B439" s="45">
        <v>23154.34</v>
      </c>
      <c r="C439" s="19">
        <f t="shared" si="6"/>
        <v>44500</v>
      </c>
      <c r="D439" s="43"/>
      <c r="E439" s="45"/>
    </row>
    <row r="440" spans="1:5" x14ac:dyDescent="0.3">
      <c r="A440" s="54">
        <v>44476</v>
      </c>
      <c r="B440" s="45">
        <v>23392.45</v>
      </c>
      <c r="C440" s="19">
        <f t="shared" si="6"/>
        <v>44500</v>
      </c>
      <c r="D440" s="43"/>
      <c r="E440" s="45"/>
    </row>
    <row r="441" spans="1:5" x14ac:dyDescent="0.3">
      <c r="A441" s="54">
        <v>44477</v>
      </c>
      <c r="B441" s="45">
        <v>23507.21</v>
      </c>
      <c r="C441" s="19">
        <f t="shared" si="6"/>
        <v>44500</v>
      </c>
      <c r="D441" s="43"/>
      <c r="E441" s="45"/>
    </row>
    <row r="442" spans="1:5" x14ac:dyDescent="0.3">
      <c r="A442" s="54">
        <v>44480</v>
      </c>
      <c r="B442" s="45">
        <v>23603.3</v>
      </c>
      <c r="C442" s="19">
        <f t="shared" si="6"/>
        <v>44500</v>
      </c>
      <c r="D442" s="43"/>
      <c r="E442" s="45"/>
    </row>
    <row r="443" spans="1:5" x14ac:dyDescent="0.3">
      <c r="A443" s="54">
        <v>44481</v>
      </c>
      <c r="B443" s="45">
        <v>23685.8</v>
      </c>
      <c r="C443" s="19">
        <f t="shared" si="6"/>
        <v>44500</v>
      </c>
      <c r="D443" s="43"/>
      <c r="E443" s="45"/>
    </row>
    <row r="444" spans="1:5" x14ac:dyDescent="0.3">
      <c r="A444" s="54">
        <v>44482</v>
      </c>
      <c r="B444" s="45">
        <v>23914.47</v>
      </c>
      <c r="C444" s="19">
        <f t="shared" si="6"/>
        <v>44500</v>
      </c>
      <c r="D444" s="43"/>
      <c r="E444" s="45"/>
    </row>
    <row r="445" spans="1:5" x14ac:dyDescent="0.3">
      <c r="A445" s="54">
        <v>44483</v>
      </c>
      <c r="B445" s="45">
        <v>24126.87</v>
      </c>
      <c r="C445" s="19">
        <f t="shared" si="6"/>
        <v>44500</v>
      </c>
      <c r="D445" s="43"/>
      <c r="E445" s="45"/>
    </row>
    <row r="446" spans="1:5" x14ac:dyDescent="0.3">
      <c r="A446" s="54">
        <v>44487</v>
      </c>
      <c r="B446" s="45">
        <v>24305.72</v>
      </c>
      <c r="C446" s="19">
        <f t="shared" si="6"/>
        <v>44500</v>
      </c>
      <c r="D446" s="43"/>
      <c r="E446" s="45"/>
    </row>
    <row r="447" spans="1:5" x14ac:dyDescent="0.3">
      <c r="A447" s="54">
        <v>44488</v>
      </c>
      <c r="B447" s="45">
        <v>24109.39</v>
      </c>
      <c r="C447" s="19">
        <f t="shared" si="6"/>
        <v>44500</v>
      </c>
      <c r="D447" s="43"/>
      <c r="E447" s="45"/>
    </row>
    <row r="448" spans="1:5" x14ac:dyDescent="0.3">
      <c r="A448" s="54">
        <v>44489</v>
      </c>
      <c r="B448" s="45">
        <v>23820</v>
      </c>
      <c r="C448" s="19">
        <f t="shared" si="6"/>
        <v>44500</v>
      </c>
      <c r="D448" s="43"/>
      <c r="E448" s="45"/>
    </row>
    <row r="449" spans="1:5" x14ac:dyDescent="0.3">
      <c r="A449" s="54">
        <v>44490</v>
      </c>
      <c r="B449" s="45">
        <v>23698.38</v>
      </c>
      <c r="C449" s="19">
        <f t="shared" si="6"/>
        <v>44500</v>
      </c>
      <c r="D449" s="43"/>
      <c r="E449" s="45"/>
    </row>
    <row r="450" spans="1:5" x14ac:dyDescent="0.3">
      <c r="A450" s="54">
        <v>44491</v>
      </c>
      <c r="B450" s="45">
        <v>23563.8</v>
      </c>
      <c r="C450" s="19">
        <f t="shared" ref="C450:C513" si="7">EOMONTH(A450,0)</f>
        <v>44500</v>
      </c>
      <c r="D450" s="43"/>
      <c r="E450" s="45"/>
    </row>
    <row r="451" spans="1:5" x14ac:dyDescent="0.3">
      <c r="A451" s="54">
        <v>44494</v>
      </c>
      <c r="B451" s="45">
        <v>23463.94</v>
      </c>
      <c r="C451" s="19">
        <f t="shared" si="7"/>
        <v>44500</v>
      </c>
      <c r="D451" s="43"/>
      <c r="E451" s="45"/>
    </row>
    <row r="452" spans="1:5" x14ac:dyDescent="0.3">
      <c r="A452" s="54">
        <v>44495</v>
      </c>
      <c r="B452" s="45">
        <v>23731.73</v>
      </c>
      <c r="C452" s="19">
        <f t="shared" si="7"/>
        <v>44500</v>
      </c>
      <c r="D452" s="43"/>
      <c r="E452" s="45"/>
    </row>
    <row r="453" spans="1:5" x14ac:dyDescent="0.3">
      <c r="A453" s="54">
        <v>44496</v>
      </c>
      <c r="B453" s="45">
        <v>23708.68</v>
      </c>
      <c r="C453" s="19">
        <f t="shared" si="7"/>
        <v>44500</v>
      </c>
      <c r="D453" s="43"/>
      <c r="E453" s="45"/>
    </row>
    <row r="454" spans="1:5" x14ac:dyDescent="0.3">
      <c r="A454" s="54">
        <v>44497</v>
      </c>
      <c r="B454" s="45">
        <v>23259.72</v>
      </c>
      <c r="C454" s="19">
        <f t="shared" si="7"/>
        <v>44500</v>
      </c>
      <c r="D454" s="43"/>
      <c r="E454" s="45"/>
    </row>
    <row r="455" spans="1:5" x14ac:dyDescent="0.3">
      <c r="A455" s="54">
        <v>44498</v>
      </c>
      <c r="B455" s="45">
        <v>23100.97</v>
      </c>
      <c r="C455" s="19">
        <f t="shared" si="7"/>
        <v>44500</v>
      </c>
      <c r="D455" s="43"/>
      <c r="E455" s="45"/>
    </row>
    <row r="456" spans="1:5" x14ac:dyDescent="0.3">
      <c r="A456" s="54">
        <v>44501</v>
      </c>
      <c r="B456" s="45">
        <v>23431.96</v>
      </c>
      <c r="C456" s="19">
        <f t="shared" si="7"/>
        <v>44530</v>
      </c>
      <c r="D456" s="43"/>
      <c r="E456" s="45"/>
    </row>
    <row r="457" spans="1:5" x14ac:dyDescent="0.3">
      <c r="A457" s="54">
        <v>44502</v>
      </c>
      <c r="B457" s="45">
        <v>23452.89</v>
      </c>
      <c r="C457" s="19">
        <f t="shared" si="7"/>
        <v>44530</v>
      </c>
      <c r="D457" s="43"/>
      <c r="E457" s="45"/>
    </row>
    <row r="458" spans="1:5" x14ac:dyDescent="0.3">
      <c r="A458" s="54">
        <v>44503</v>
      </c>
      <c r="B458" s="45">
        <v>23404.31</v>
      </c>
      <c r="C458" s="19">
        <f t="shared" si="7"/>
        <v>44530</v>
      </c>
      <c r="D458" s="43"/>
      <c r="E458" s="45"/>
    </row>
    <row r="459" spans="1:5" x14ac:dyDescent="0.3">
      <c r="A459" s="54">
        <v>44508</v>
      </c>
      <c r="B459" s="45">
        <v>23768.47</v>
      </c>
      <c r="C459" s="19">
        <f t="shared" si="7"/>
        <v>44530</v>
      </c>
      <c r="D459" s="43"/>
      <c r="E459" s="45"/>
    </row>
    <row r="460" spans="1:5" x14ac:dyDescent="0.3">
      <c r="A460" s="54">
        <v>44509</v>
      </c>
      <c r="B460" s="45">
        <v>23803.67</v>
      </c>
      <c r="C460" s="19">
        <f t="shared" si="7"/>
        <v>44530</v>
      </c>
      <c r="D460" s="43"/>
      <c r="E460" s="45"/>
    </row>
    <row r="461" spans="1:5" x14ac:dyDescent="0.3">
      <c r="A461" s="54">
        <v>44510</v>
      </c>
      <c r="B461" s="45">
        <v>23772.02</v>
      </c>
      <c r="C461" s="19">
        <f t="shared" si="7"/>
        <v>44530</v>
      </c>
      <c r="D461" s="43"/>
      <c r="E461" s="45"/>
    </row>
    <row r="462" spans="1:5" x14ac:dyDescent="0.3">
      <c r="A462" s="54">
        <v>44511</v>
      </c>
      <c r="B462" s="45">
        <v>23608.35</v>
      </c>
      <c r="C462" s="19">
        <f t="shared" si="7"/>
        <v>44530</v>
      </c>
      <c r="D462" s="43"/>
      <c r="E462" s="45"/>
    </row>
    <row r="463" spans="1:5" x14ac:dyDescent="0.3">
      <c r="A463" s="54">
        <v>44512</v>
      </c>
      <c r="B463" s="45">
        <v>23865.63</v>
      </c>
      <c r="C463" s="19">
        <f t="shared" si="7"/>
        <v>44530</v>
      </c>
      <c r="D463" s="43"/>
      <c r="E463" s="45"/>
    </row>
    <row r="464" spans="1:5" x14ac:dyDescent="0.3">
      <c r="A464" s="54">
        <v>44515</v>
      </c>
      <c r="B464" s="45">
        <v>23886.54</v>
      </c>
      <c r="C464" s="19">
        <f t="shared" si="7"/>
        <v>44530</v>
      </c>
      <c r="D464" s="43"/>
      <c r="E464" s="45"/>
    </row>
    <row r="465" spans="1:5" x14ac:dyDescent="0.3">
      <c r="A465" s="54">
        <v>44516</v>
      </c>
      <c r="B465" s="45">
        <v>23783.599999999999</v>
      </c>
      <c r="C465" s="19">
        <f t="shared" si="7"/>
        <v>44530</v>
      </c>
      <c r="D465" s="43"/>
      <c r="E465" s="45"/>
    </row>
    <row r="466" spans="1:5" x14ac:dyDescent="0.3">
      <c r="A466" s="54">
        <v>44517</v>
      </c>
      <c r="B466" s="45">
        <v>23677.24</v>
      </c>
      <c r="C466" s="19">
        <f t="shared" si="7"/>
        <v>44530</v>
      </c>
      <c r="D466" s="43"/>
      <c r="E466" s="45"/>
    </row>
    <row r="467" spans="1:5" x14ac:dyDescent="0.3">
      <c r="A467" s="54">
        <v>44518</v>
      </c>
      <c r="B467" s="45">
        <v>23443.759999999998</v>
      </c>
      <c r="C467" s="19">
        <f t="shared" si="7"/>
        <v>44530</v>
      </c>
      <c r="D467" s="43"/>
      <c r="E467" s="45"/>
    </row>
    <row r="468" spans="1:5" x14ac:dyDescent="0.3">
      <c r="A468" s="54">
        <v>44522</v>
      </c>
      <c r="B468" s="45">
        <v>22948.81</v>
      </c>
      <c r="C468" s="19">
        <f t="shared" si="7"/>
        <v>44530</v>
      </c>
      <c r="D468" s="43"/>
      <c r="E468" s="45"/>
    </row>
    <row r="469" spans="1:5" x14ac:dyDescent="0.3">
      <c r="A469" s="54">
        <v>44523</v>
      </c>
      <c r="B469" s="45">
        <v>23150.31</v>
      </c>
      <c r="C469" s="19">
        <f t="shared" si="7"/>
        <v>44530</v>
      </c>
      <c r="D469" s="43"/>
      <c r="E469" s="45"/>
    </row>
    <row r="470" spans="1:5" x14ac:dyDescent="0.3">
      <c r="A470" s="54">
        <v>44524</v>
      </c>
      <c r="B470" s="45">
        <v>23057.77</v>
      </c>
      <c r="C470" s="19">
        <f t="shared" si="7"/>
        <v>44530</v>
      </c>
      <c r="D470" s="43"/>
      <c r="E470" s="45"/>
    </row>
    <row r="471" spans="1:5" x14ac:dyDescent="0.3">
      <c r="A471" s="54">
        <v>44525</v>
      </c>
      <c r="B471" s="45">
        <v>23217.37</v>
      </c>
      <c r="C471" s="19">
        <f t="shared" si="7"/>
        <v>44530</v>
      </c>
      <c r="D471" s="43"/>
      <c r="E471" s="45"/>
    </row>
    <row r="472" spans="1:5" x14ac:dyDescent="0.3">
      <c r="A472" s="54">
        <v>44526</v>
      </c>
      <c r="B472" s="45">
        <v>22537.919999999998</v>
      </c>
      <c r="C472" s="19">
        <f t="shared" si="7"/>
        <v>44530</v>
      </c>
      <c r="D472" s="43"/>
      <c r="E472" s="45"/>
    </row>
    <row r="473" spans="1:5" x14ac:dyDescent="0.3">
      <c r="A473" s="54">
        <v>44529</v>
      </c>
      <c r="B473" s="45">
        <v>22460.1</v>
      </c>
      <c r="C473" s="19">
        <f t="shared" si="7"/>
        <v>44530</v>
      </c>
      <c r="D473" s="43"/>
      <c r="E473" s="45"/>
    </row>
    <row r="474" spans="1:5" x14ac:dyDescent="0.3">
      <c r="A474" s="54">
        <v>44530</v>
      </c>
      <c r="B474" s="45">
        <v>22447.74</v>
      </c>
      <c r="C474" s="19">
        <f t="shared" si="7"/>
        <v>44530</v>
      </c>
      <c r="D474" s="43"/>
      <c r="E474" s="45"/>
    </row>
    <row r="475" spans="1:5" x14ac:dyDescent="0.3">
      <c r="A475" s="54">
        <v>44531</v>
      </c>
      <c r="B475" s="45">
        <v>22656.71</v>
      </c>
      <c r="C475" s="19">
        <f t="shared" si="7"/>
        <v>44561</v>
      </c>
      <c r="D475" s="43"/>
      <c r="E475" s="45"/>
    </row>
    <row r="476" spans="1:5" x14ac:dyDescent="0.3">
      <c r="A476" s="54">
        <v>44532</v>
      </c>
      <c r="B476" s="45">
        <v>22946.71</v>
      </c>
      <c r="C476" s="19">
        <f t="shared" si="7"/>
        <v>44561</v>
      </c>
      <c r="D476" s="43"/>
      <c r="E476" s="45"/>
    </row>
    <row r="477" spans="1:5" x14ac:dyDescent="0.3">
      <c r="A477" s="54">
        <v>44533</v>
      </c>
      <c r="B477" s="45">
        <v>22766.46</v>
      </c>
      <c r="C477" s="19">
        <f t="shared" si="7"/>
        <v>44561</v>
      </c>
      <c r="D477" s="43"/>
      <c r="E477" s="45"/>
    </row>
    <row r="478" spans="1:5" x14ac:dyDescent="0.3">
      <c r="A478" s="54">
        <v>44536</v>
      </c>
      <c r="B478" s="45">
        <v>22401.81</v>
      </c>
      <c r="C478" s="19">
        <f t="shared" si="7"/>
        <v>44561</v>
      </c>
      <c r="D478" s="43"/>
      <c r="E478" s="45"/>
    </row>
    <row r="479" spans="1:5" x14ac:dyDescent="0.3">
      <c r="A479" s="54">
        <v>44538</v>
      </c>
      <c r="B479" s="45">
        <v>23098.91</v>
      </c>
      <c r="C479" s="19">
        <f t="shared" si="7"/>
        <v>44561</v>
      </c>
      <c r="D479" s="43"/>
      <c r="E479" s="45"/>
    </row>
    <row r="480" spans="1:5" x14ac:dyDescent="0.3">
      <c r="A480" s="54">
        <v>44539</v>
      </c>
      <c r="B480" s="45">
        <v>23180.65</v>
      </c>
      <c r="C480" s="19">
        <f t="shared" si="7"/>
        <v>44561</v>
      </c>
      <c r="D480" s="43"/>
      <c r="E480" s="45"/>
    </row>
    <row r="481" spans="1:5" x14ac:dyDescent="0.3">
      <c r="A481" s="54">
        <v>44540</v>
      </c>
      <c r="B481" s="45">
        <v>23224.15</v>
      </c>
      <c r="C481" s="19">
        <f t="shared" si="7"/>
        <v>44561</v>
      </c>
      <c r="D481" s="43"/>
      <c r="E481" s="45"/>
    </row>
    <row r="482" spans="1:5" x14ac:dyDescent="0.3">
      <c r="A482" s="54">
        <v>44543</v>
      </c>
      <c r="B482" s="45">
        <v>23085.13</v>
      </c>
      <c r="C482" s="19">
        <f t="shared" si="7"/>
        <v>44561</v>
      </c>
      <c r="D482" s="43"/>
      <c r="E482" s="45"/>
    </row>
    <row r="483" spans="1:5" x14ac:dyDescent="0.3">
      <c r="A483" s="54">
        <v>44544</v>
      </c>
      <c r="B483" s="45">
        <v>23052.95</v>
      </c>
      <c r="C483" s="19">
        <f t="shared" si="7"/>
        <v>44561</v>
      </c>
      <c r="D483" s="43"/>
      <c r="E483" s="45"/>
    </row>
    <row r="484" spans="1:5" x14ac:dyDescent="0.3">
      <c r="A484" s="54">
        <v>44545</v>
      </c>
      <c r="B484" s="45">
        <v>22914.799999999999</v>
      </c>
      <c r="C484" s="19">
        <f t="shared" si="7"/>
        <v>44561</v>
      </c>
      <c r="D484" s="43"/>
      <c r="E484" s="45"/>
    </row>
    <row r="485" spans="1:5" x14ac:dyDescent="0.3">
      <c r="A485" s="54">
        <v>44546</v>
      </c>
      <c r="B485" s="45">
        <v>22889.27</v>
      </c>
      <c r="C485" s="19">
        <f t="shared" si="7"/>
        <v>44561</v>
      </c>
      <c r="D485" s="43"/>
      <c r="E485" s="45"/>
    </row>
    <row r="486" spans="1:5" x14ac:dyDescent="0.3">
      <c r="A486" s="54">
        <v>44547</v>
      </c>
      <c r="B486" s="45">
        <v>22489.29</v>
      </c>
      <c r="C486" s="19">
        <f t="shared" si="7"/>
        <v>44561</v>
      </c>
      <c r="D486" s="43"/>
      <c r="E486" s="45"/>
    </row>
    <row r="487" spans="1:5" x14ac:dyDescent="0.3">
      <c r="A487" s="54">
        <v>44550</v>
      </c>
      <c r="B487" s="45">
        <v>21918.48</v>
      </c>
      <c r="C487" s="19">
        <f t="shared" si="7"/>
        <v>44561</v>
      </c>
      <c r="D487" s="43"/>
      <c r="E487" s="45"/>
    </row>
    <row r="488" spans="1:5" x14ac:dyDescent="0.3">
      <c r="A488" s="54">
        <v>44551</v>
      </c>
      <c r="B488" s="45">
        <v>22164.77</v>
      </c>
      <c r="C488" s="19">
        <f t="shared" si="7"/>
        <v>44561</v>
      </c>
      <c r="D488" s="43"/>
      <c r="E488" s="45"/>
    </row>
    <row r="489" spans="1:5" x14ac:dyDescent="0.3">
      <c r="A489" s="54">
        <v>44552</v>
      </c>
      <c r="B489" s="45">
        <v>22442.93</v>
      </c>
      <c r="C489" s="19">
        <f t="shared" si="7"/>
        <v>44561</v>
      </c>
      <c r="D489" s="43"/>
      <c r="E489" s="45"/>
    </row>
    <row r="490" spans="1:5" x14ac:dyDescent="0.3">
      <c r="A490" s="54">
        <v>44553</v>
      </c>
      <c r="B490" s="45">
        <v>22614.17</v>
      </c>
      <c r="C490" s="19">
        <f t="shared" si="7"/>
        <v>44561</v>
      </c>
      <c r="D490" s="43"/>
      <c r="E490" s="45"/>
    </row>
    <row r="491" spans="1:5" x14ac:dyDescent="0.3">
      <c r="A491" s="54">
        <v>44554</v>
      </c>
      <c r="B491" s="45">
        <v>22481.33</v>
      </c>
      <c r="C491" s="19">
        <f t="shared" si="7"/>
        <v>44561</v>
      </c>
      <c r="D491" s="43"/>
      <c r="E491" s="45"/>
    </row>
    <row r="492" spans="1:5" x14ac:dyDescent="0.3">
      <c r="A492" s="54">
        <v>44557</v>
      </c>
      <c r="B492" s="45">
        <v>22577.599999999999</v>
      </c>
      <c r="C492" s="19">
        <f t="shared" si="7"/>
        <v>44561</v>
      </c>
      <c r="D492" s="43"/>
      <c r="E492" s="45"/>
    </row>
    <row r="493" spans="1:5" x14ac:dyDescent="0.3">
      <c r="A493" s="54">
        <v>44558</v>
      </c>
      <c r="B493" s="45">
        <v>22792.66</v>
      </c>
      <c r="C493" s="19">
        <f t="shared" si="7"/>
        <v>44561</v>
      </c>
      <c r="D493" s="43"/>
      <c r="E493" s="45"/>
    </row>
    <row r="494" spans="1:5" x14ac:dyDescent="0.3">
      <c r="A494" s="54">
        <v>44559</v>
      </c>
      <c r="B494" s="45">
        <v>22785.85</v>
      </c>
      <c r="C494" s="19">
        <f t="shared" si="7"/>
        <v>44561</v>
      </c>
      <c r="D494" s="43"/>
      <c r="E494" s="45"/>
    </row>
    <row r="495" spans="1:5" x14ac:dyDescent="0.3">
      <c r="A495" s="54">
        <v>44560</v>
      </c>
      <c r="B495" s="45">
        <v>22754.58</v>
      </c>
      <c r="C495" s="19">
        <f t="shared" si="7"/>
        <v>44561</v>
      </c>
      <c r="D495" s="43"/>
      <c r="E495" s="45"/>
    </row>
    <row r="496" spans="1:5" x14ac:dyDescent="0.3">
      <c r="A496" s="54">
        <v>44561</v>
      </c>
      <c r="B496" s="45">
        <v>22990.880000000001</v>
      </c>
      <c r="C496" s="19">
        <f t="shared" si="7"/>
        <v>44561</v>
      </c>
      <c r="D496" s="43"/>
      <c r="E496" s="45"/>
    </row>
    <row r="497" spans="1:5" x14ac:dyDescent="0.3">
      <c r="A497" s="54">
        <v>44564</v>
      </c>
      <c r="B497" s="45">
        <v>23310.38</v>
      </c>
      <c r="C497" s="19">
        <f t="shared" si="7"/>
        <v>44592</v>
      </c>
      <c r="D497" s="43"/>
      <c r="E497" s="45"/>
    </row>
    <row r="498" spans="1:5" x14ac:dyDescent="0.3">
      <c r="A498" s="54">
        <v>44565</v>
      </c>
      <c r="B498" s="45">
        <v>23485.37</v>
      </c>
      <c r="C498" s="19">
        <f t="shared" si="7"/>
        <v>44592</v>
      </c>
      <c r="D498" s="43"/>
      <c r="E498" s="45"/>
    </row>
    <row r="499" spans="1:5" x14ac:dyDescent="0.3">
      <c r="A499" s="54">
        <v>44566</v>
      </c>
      <c r="B499" s="45">
        <v>23604.46</v>
      </c>
      <c r="C499" s="19">
        <f t="shared" si="7"/>
        <v>44592</v>
      </c>
      <c r="D499" s="43"/>
      <c r="E499" s="45"/>
    </row>
    <row r="500" spans="1:5" x14ac:dyDescent="0.3">
      <c r="A500" s="54">
        <v>44567</v>
      </c>
      <c r="B500" s="45">
        <v>23441.51</v>
      </c>
      <c r="C500" s="19">
        <f t="shared" si="7"/>
        <v>44592</v>
      </c>
      <c r="D500" s="43"/>
      <c r="E500" s="45"/>
    </row>
    <row r="501" spans="1:5" x14ac:dyDescent="0.3">
      <c r="A501" s="54">
        <v>44568</v>
      </c>
      <c r="B501" s="45">
        <v>23531.13</v>
      </c>
      <c r="C501" s="19">
        <f t="shared" si="7"/>
        <v>44592</v>
      </c>
      <c r="D501" s="43"/>
      <c r="E501" s="45"/>
    </row>
    <row r="502" spans="1:5" x14ac:dyDescent="0.3">
      <c r="A502" s="54">
        <v>44571</v>
      </c>
      <c r="B502" s="45">
        <v>23756.45</v>
      </c>
      <c r="C502" s="19">
        <f t="shared" si="7"/>
        <v>44592</v>
      </c>
      <c r="D502" s="43"/>
      <c r="E502" s="45"/>
    </row>
    <row r="503" spans="1:5" x14ac:dyDescent="0.3">
      <c r="A503" s="54">
        <v>44572</v>
      </c>
      <c r="B503" s="45">
        <v>23810.11</v>
      </c>
      <c r="C503" s="19">
        <f t="shared" si="7"/>
        <v>44592</v>
      </c>
      <c r="D503" s="43"/>
      <c r="E503" s="45"/>
    </row>
    <row r="504" spans="1:5" x14ac:dyDescent="0.3">
      <c r="A504" s="54">
        <v>44573</v>
      </c>
      <c r="B504" s="45">
        <v>24020.69</v>
      </c>
      <c r="C504" s="19">
        <f t="shared" si="7"/>
        <v>44592</v>
      </c>
      <c r="D504" s="43"/>
      <c r="E504" s="45"/>
    </row>
    <row r="505" spans="1:5" x14ac:dyDescent="0.3">
      <c r="A505" s="54">
        <v>44574</v>
      </c>
      <c r="B505" s="45">
        <v>24102.2</v>
      </c>
      <c r="C505" s="19">
        <f t="shared" si="7"/>
        <v>44592</v>
      </c>
      <c r="D505" s="43"/>
      <c r="E505" s="45"/>
    </row>
    <row r="506" spans="1:5" x14ac:dyDescent="0.3">
      <c r="A506" s="54">
        <v>44575</v>
      </c>
      <c r="B506" s="45">
        <v>24116.52</v>
      </c>
      <c r="C506" s="19">
        <f t="shared" si="7"/>
        <v>44592</v>
      </c>
      <c r="D506" s="43"/>
      <c r="E506" s="45"/>
    </row>
    <row r="507" spans="1:5" x14ac:dyDescent="0.3">
      <c r="A507" s="54">
        <v>44578</v>
      </c>
      <c r="B507" s="45">
        <v>24194.84</v>
      </c>
      <c r="C507" s="19">
        <f t="shared" si="7"/>
        <v>44592</v>
      </c>
      <c r="D507" s="43"/>
      <c r="E507" s="45"/>
    </row>
    <row r="508" spans="1:5" x14ac:dyDescent="0.3">
      <c r="A508" s="54">
        <v>44579</v>
      </c>
      <c r="B508" s="45">
        <v>23875.7</v>
      </c>
      <c r="C508" s="19">
        <f t="shared" si="7"/>
        <v>44592</v>
      </c>
      <c r="D508" s="43"/>
      <c r="E508" s="45"/>
    </row>
    <row r="509" spans="1:5" x14ac:dyDescent="0.3">
      <c r="A509" s="54">
        <v>44580</v>
      </c>
      <c r="B509" s="45">
        <v>23722.89</v>
      </c>
      <c r="C509" s="19">
        <f t="shared" si="7"/>
        <v>44592</v>
      </c>
      <c r="D509" s="43"/>
      <c r="E509" s="45"/>
    </row>
    <row r="510" spans="1:5" x14ac:dyDescent="0.3">
      <c r="A510" s="54">
        <v>44581</v>
      </c>
      <c r="B510" s="45">
        <v>23554.44</v>
      </c>
      <c r="C510" s="19">
        <f t="shared" si="7"/>
        <v>44592</v>
      </c>
      <c r="D510" s="43"/>
      <c r="E510" s="45"/>
    </row>
    <row r="511" spans="1:5" x14ac:dyDescent="0.3">
      <c r="A511" s="54">
        <v>44582</v>
      </c>
      <c r="B511" s="45">
        <v>23278.25</v>
      </c>
      <c r="C511" s="19">
        <f t="shared" si="7"/>
        <v>44592</v>
      </c>
      <c r="D511" s="43"/>
      <c r="E511" s="45"/>
    </row>
    <row r="512" spans="1:5" x14ac:dyDescent="0.3">
      <c r="A512" s="54">
        <v>44585</v>
      </c>
      <c r="B512" s="45">
        <v>22560.17</v>
      </c>
      <c r="C512" s="19">
        <f t="shared" si="7"/>
        <v>44592</v>
      </c>
      <c r="D512" s="43"/>
      <c r="E512" s="45"/>
    </row>
    <row r="513" spans="1:5" x14ac:dyDescent="0.3">
      <c r="A513" s="54">
        <v>44586</v>
      </c>
      <c r="B513" s="45">
        <v>22744.48</v>
      </c>
      <c r="C513" s="19">
        <f t="shared" si="7"/>
        <v>44592</v>
      </c>
      <c r="D513" s="43"/>
      <c r="E513" s="45"/>
    </row>
    <row r="514" spans="1:5" x14ac:dyDescent="0.3">
      <c r="A514" s="54">
        <v>44588</v>
      </c>
      <c r="B514" s="45">
        <v>22510.82</v>
      </c>
      <c r="C514" s="19">
        <f t="shared" ref="C514:C577" si="8">EOMONTH(A514,0)</f>
        <v>44592</v>
      </c>
      <c r="D514" s="43"/>
      <c r="E514" s="45"/>
    </row>
    <row r="515" spans="1:5" x14ac:dyDescent="0.3">
      <c r="A515" s="54">
        <v>44589</v>
      </c>
      <c r="B515" s="45">
        <v>22577.57</v>
      </c>
      <c r="C515" s="19">
        <f t="shared" si="8"/>
        <v>44592</v>
      </c>
      <c r="D515" s="43"/>
      <c r="E515" s="45"/>
    </row>
    <row r="516" spans="1:5" x14ac:dyDescent="0.3">
      <c r="A516" s="54">
        <v>44592</v>
      </c>
      <c r="B516" s="45">
        <v>22881.58</v>
      </c>
      <c r="C516" s="19">
        <f t="shared" si="8"/>
        <v>44592</v>
      </c>
      <c r="D516" s="43"/>
      <c r="E516" s="45"/>
    </row>
    <row r="517" spans="1:5" x14ac:dyDescent="0.3">
      <c r="A517" s="54">
        <v>44593</v>
      </c>
      <c r="B517" s="45">
        <v>23180.44</v>
      </c>
      <c r="C517" s="19">
        <f t="shared" si="8"/>
        <v>44620</v>
      </c>
      <c r="D517" s="43"/>
      <c r="E517" s="45"/>
    </row>
    <row r="518" spans="1:5" x14ac:dyDescent="0.3">
      <c r="A518" s="54">
        <v>44594</v>
      </c>
      <c r="B518" s="45">
        <v>23452.49</v>
      </c>
      <c r="C518" s="19">
        <f t="shared" si="8"/>
        <v>44620</v>
      </c>
      <c r="D518" s="43"/>
      <c r="E518" s="45"/>
    </row>
    <row r="519" spans="1:5" x14ac:dyDescent="0.3">
      <c r="A519" s="54">
        <v>44595</v>
      </c>
      <c r="B519" s="45">
        <v>23215.34</v>
      </c>
      <c r="C519" s="19">
        <f t="shared" si="8"/>
        <v>44620</v>
      </c>
      <c r="D519" s="43"/>
      <c r="E519" s="45"/>
    </row>
    <row r="520" spans="1:5" x14ac:dyDescent="0.3">
      <c r="A520" s="54">
        <v>44596</v>
      </c>
      <c r="B520" s="45">
        <v>23138.74</v>
      </c>
      <c r="C520" s="19">
        <f t="shared" si="8"/>
        <v>44620</v>
      </c>
      <c r="D520" s="43"/>
      <c r="E520" s="45"/>
    </row>
    <row r="521" spans="1:5" x14ac:dyDescent="0.3">
      <c r="A521" s="54">
        <v>44599</v>
      </c>
      <c r="B521" s="45">
        <v>22809.5</v>
      </c>
      <c r="C521" s="19">
        <f t="shared" si="8"/>
        <v>44620</v>
      </c>
      <c r="D521" s="43"/>
      <c r="E521" s="45"/>
    </row>
    <row r="522" spans="1:5" x14ac:dyDescent="0.3">
      <c r="A522" s="54">
        <v>44600</v>
      </c>
      <c r="B522" s="45">
        <v>22788.92</v>
      </c>
      <c r="C522" s="19">
        <f t="shared" si="8"/>
        <v>44620</v>
      </c>
      <c r="D522" s="43"/>
      <c r="E522" s="45"/>
    </row>
    <row r="523" spans="1:5" x14ac:dyDescent="0.3">
      <c r="A523" s="54">
        <v>44601</v>
      </c>
      <c r="B523" s="45">
        <v>23037.24</v>
      </c>
      <c r="C523" s="19">
        <f t="shared" si="8"/>
        <v>44620</v>
      </c>
      <c r="D523" s="43"/>
      <c r="E523" s="45"/>
    </row>
    <row r="524" spans="1:5" x14ac:dyDescent="0.3">
      <c r="A524" s="54">
        <v>44602</v>
      </c>
      <c r="B524" s="45">
        <v>23186.39</v>
      </c>
      <c r="C524" s="19">
        <f t="shared" si="8"/>
        <v>44620</v>
      </c>
      <c r="D524" s="43"/>
      <c r="E524" s="45"/>
    </row>
    <row r="525" spans="1:5" x14ac:dyDescent="0.3">
      <c r="A525" s="54">
        <v>44603</v>
      </c>
      <c r="B525" s="45">
        <v>22847.57</v>
      </c>
      <c r="C525" s="19">
        <f t="shared" si="8"/>
        <v>44620</v>
      </c>
      <c r="D525" s="43"/>
      <c r="E525" s="45"/>
    </row>
    <row r="526" spans="1:5" x14ac:dyDescent="0.3">
      <c r="A526" s="54">
        <v>44606</v>
      </c>
      <c r="B526" s="45">
        <v>22103.72</v>
      </c>
      <c r="C526" s="19">
        <f t="shared" si="8"/>
        <v>44620</v>
      </c>
      <c r="D526" s="43"/>
      <c r="E526" s="45"/>
    </row>
    <row r="527" spans="1:5" x14ac:dyDescent="0.3">
      <c r="A527" s="54">
        <v>44607</v>
      </c>
      <c r="B527" s="45">
        <v>22726.82</v>
      </c>
      <c r="C527" s="19">
        <f t="shared" si="8"/>
        <v>44620</v>
      </c>
      <c r="D527" s="43"/>
      <c r="E527" s="45"/>
    </row>
    <row r="528" spans="1:5" x14ac:dyDescent="0.3">
      <c r="A528" s="54">
        <v>44608</v>
      </c>
      <c r="B528" s="45">
        <v>22706.7</v>
      </c>
      <c r="C528" s="19">
        <f t="shared" si="8"/>
        <v>44620</v>
      </c>
      <c r="D528" s="43"/>
      <c r="E528" s="45"/>
    </row>
    <row r="529" spans="1:5" x14ac:dyDescent="0.3">
      <c r="A529" s="54">
        <v>44609</v>
      </c>
      <c r="B529" s="45">
        <v>22682.48</v>
      </c>
      <c r="C529" s="19">
        <f t="shared" si="8"/>
        <v>44620</v>
      </c>
      <c r="D529" s="43"/>
      <c r="E529" s="45"/>
    </row>
    <row r="530" spans="1:5" x14ac:dyDescent="0.3">
      <c r="A530" s="54">
        <v>44610</v>
      </c>
      <c r="B530" s="45">
        <v>22588.37</v>
      </c>
      <c r="C530" s="19">
        <f t="shared" si="8"/>
        <v>44620</v>
      </c>
      <c r="D530" s="43"/>
      <c r="E530" s="45"/>
    </row>
    <row r="531" spans="1:5" x14ac:dyDescent="0.3">
      <c r="A531" s="54">
        <v>44613</v>
      </c>
      <c r="B531" s="45">
        <v>22419.75</v>
      </c>
      <c r="C531" s="19">
        <f t="shared" si="8"/>
        <v>44620</v>
      </c>
      <c r="D531" s="43"/>
      <c r="E531" s="45"/>
    </row>
    <row r="532" spans="1:5" x14ac:dyDescent="0.3">
      <c r="A532" s="54">
        <v>44614</v>
      </c>
      <c r="B532" s="45">
        <v>22254.97</v>
      </c>
      <c r="C532" s="19">
        <f t="shared" si="8"/>
        <v>44620</v>
      </c>
      <c r="D532" s="43"/>
      <c r="E532" s="45"/>
    </row>
    <row r="533" spans="1:5" x14ac:dyDescent="0.3">
      <c r="A533" s="54">
        <v>44615</v>
      </c>
      <c r="B533" s="45">
        <v>22282.639999999999</v>
      </c>
      <c r="C533" s="19">
        <f t="shared" si="8"/>
        <v>44620</v>
      </c>
      <c r="D533" s="43"/>
      <c r="E533" s="45"/>
    </row>
    <row r="534" spans="1:5" x14ac:dyDescent="0.3">
      <c r="A534" s="54">
        <v>44616</v>
      </c>
      <c r="B534" s="45">
        <v>21159.69</v>
      </c>
      <c r="C534" s="19">
        <f t="shared" si="8"/>
        <v>44620</v>
      </c>
      <c r="D534" s="43"/>
      <c r="E534" s="45"/>
    </row>
    <row r="535" spans="1:5" x14ac:dyDescent="0.3">
      <c r="A535" s="54">
        <v>44617</v>
      </c>
      <c r="B535" s="45">
        <v>21793.49</v>
      </c>
      <c r="C535" s="19">
        <f t="shared" si="8"/>
        <v>44620</v>
      </c>
      <c r="D535" s="43"/>
      <c r="E535" s="45"/>
    </row>
    <row r="536" spans="1:5" x14ac:dyDescent="0.3">
      <c r="A536" s="54">
        <v>44620</v>
      </c>
      <c r="B536" s="45">
        <v>21978.65</v>
      </c>
      <c r="C536" s="19">
        <f t="shared" si="8"/>
        <v>44620</v>
      </c>
      <c r="D536" s="43"/>
      <c r="E536" s="45"/>
    </row>
    <row r="537" spans="1:5" x14ac:dyDescent="0.3">
      <c r="A537" s="54">
        <v>44622</v>
      </c>
      <c r="B537" s="45">
        <v>21812.5</v>
      </c>
      <c r="C537" s="19">
        <f t="shared" si="8"/>
        <v>44651</v>
      </c>
      <c r="D537" s="43"/>
      <c r="E537" s="45"/>
    </row>
    <row r="538" spans="1:5" x14ac:dyDescent="0.3">
      <c r="A538" s="54">
        <v>44623</v>
      </c>
      <c r="B538" s="45">
        <v>21714.47</v>
      </c>
      <c r="C538" s="19">
        <f t="shared" si="8"/>
        <v>44651</v>
      </c>
      <c r="D538" s="43"/>
      <c r="E538" s="45"/>
    </row>
    <row r="539" spans="1:5" x14ac:dyDescent="0.3">
      <c r="A539" s="54">
        <v>44624</v>
      </c>
      <c r="B539" s="45">
        <v>21341.5</v>
      </c>
      <c r="C539" s="19">
        <f t="shared" si="8"/>
        <v>44651</v>
      </c>
      <c r="D539" s="43"/>
      <c r="E539" s="45"/>
    </row>
    <row r="540" spans="1:5" x14ac:dyDescent="0.3">
      <c r="A540" s="54">
        <v>44627</v>
      </c>
      <c r="B540" s="45">
        <v>20836.23</v>
      </c>
      <c r="C540" s="19">
        <f t="shared" si="8"/>
        <v>44651</v>
      </c>
      <c r="D540" s="43"/>
      <c r="E540" s="45"/>
    </row>
    <row r="541" spans="1:5" x14ac:dyDescent="0.3">
      <c r="A541" s="54">
        <v>44628</v>
      </c>
      <c r="B541" s="45">
        <v>21055.17</v>
      </c>
      <c r="C541" s="19">
        <f t="shared" si="8"/>
        <v>44651</v>
      </c>
      <c r="D541" s="43"/>
      <c r="E541" s="45"/>
    </row>
    <row r="542" spans="1:5" x14ac:dyDescent="0.3">
      <c r="A542" s="54">
        <v>44629</v>
      </c>
      <c r="B542" s="45">
        <v>21477.68</v>
      </c>
      <c r="C542" s="19">
        <f t="shared" si="8"/>
        <v>44651</v>
      </c>
      <c r="D542" s="43"/>
      <c r="E542" s="45"/>
    </row>
    <row r="543" spans="1:5" x14ac:dyDescent="0.3">
      <c r="A543" s="54">
        <v>44630</v>
      </c>
      <c r="B543" s="45">
        <v>21799.49</v>
      </c>
      <c r="C543" s="19">
        <f t="shared" si="8"/>
        <v>44651</v>
      </c>
      <c r="D543" s="43"/>
      <c r="E543" s="45"/>
    </row>
    <row r="544" spans="1:5" x14ac:dyDescent="0.3">
      <c r="A544" s="54">
        <v>44631</v>
      </c>
      <c r="B544" s="45">
        <v>21873.99</v>
      </c>
      <c r="C544" s="19">
        <f t="shared" si="8"/>
        <v>44651</v>
      </c>
      <c r="D544" s="43"/>
      <c r="E544" s="45"/>
    </row>
    <row r="545" spans="1:5" x14ac:dyDescent="0.3">
      <c r="A545" s="54">
        <v>44634</v>
      </c>
      <c r="B545" s="45">
        <v>22085.19</v>
      </c>
      <c r="C545" s="19">
        <f t="shared" si="8"/>
        <v>44651</v>
      </c>
      <c r="D545" s="43"/>
      <c r="E545" s="45"/>
    </row>
    <row r="546" spans="1:5" x14ac:dyDescent="0.3">
      <c r="A546" s="54">
        <v>44635</v>
      </c>
      <c r="B546" s="45">
        <v>21841.279999999999</v>
      </c>
      <c r="C546" s="19">
        <f t="shared" si="8"/>
        <v>44651</v>
      </c>
      <c r="D546" s="43"/>
      <c r="E546" s="45"/>
    </row>
    <row r="547" spans="1:5" x14ac:dyDescent="0.3">
      <c r="A547" s="54">
        <v>44636</v>
      </c>
      <c r="B547" s="45">
        <v>22250.14</v>
      </c>
      <c r="C547" s="19">
        <f t="shared" si="8"/>
        <v>44651</v>
      </c>
      <c r="D547" s="43"/>
      <c r="E547" s="45"/>
    </row>
    <row r="548" spans="1:5" x14ac:dyDescent="0.3">
      <c r="A548" s="54">
        <v>44637</v>
      </c>
      <c r="B548" s="45">
        <v>22618.83</v>
      </c>
      <c r="C548" s="19">
        <f t="shared" si="8"/>
        <v>44651</v>
      </c>
      <c r="D548" s="43"/>
      <c r="E548" s="45"/>
    </row>
    <row r="549" spans="1:5" x14ac:dyDescent="0.3">
      <c r="A549" s="54">
        <v>44641</v>
      </c>
      <c r="B549" s="45">
        <v>22437.279999999999</v>
      </c>
      <c r="C549" s="19">
        <f t="shared" si="8"/>
        <v>44651</v>
      </c>
      <c r="D549" s="43"/>
      <c r="E549" s="45"/>
    </row>
    <row r="550" spans="1:5" x14ac:dyDescent="0.3">
      <c r="A550" s="54">
        <v>44642</v>
      </c>
      <c r="B550" s="45">
        <v>22624.23</v>
      </c>
      <c r="C550" s="19">
        <f t="shared" si="8"/>
        <v>44651</v>
      </c>
      <c r="D550" s="43"/>
      <c r="E550" s="45"/>
    </row>
    <row r="551" spans="1:5" x14ac:dyDescent="0.3">
      <c r="A551" s="54">
        <v>44643</v>
      </c>
      <c r="B551" s="45">
        <v>22579.87</v>
      </c>
      <c r="C551" s="19">
        <f t="shared" si="8"/>
        <v>44651</v>
      </c>
      <c r="D551" s="43"/>
      <c r="E551" s="45"/>
    </row>
    <row r="552" spans="1:5" x14ac:dyDescent="0.3">
      <c r="A552" s="54">
        <v>44644</v>
      </c>
      <c r="B552" s="45">
        <v>22586.94</v>
      </c>
      <c r="C552" s="19">
        <f t="shared" si="8"/>
        <v>44651</v>
      </c>
      <c r="D552" s="43"/>
      <c r="E552" s="45"/>
    </row>
    <row r="553" spans="1:5" x14ac:dyDescent="0.3">
      <c r="A553" s="54">
        <v>44645</v>
      </c>
      <c r="B553" s="45">
        <v>22513.87</v>
      </c>
      <c r="C553" s="19">
        <f t="shared" si="8"/>
        <v>44651</v>
      </c>
      <c r="D553" s="43"/>
      <c r="E553" s="45"/>
    </row>
    <row r="554" spans="1:5" x14ac:dyDescent="0.3">
      <c r="A554" s="54">
        <v>44648</v>
      </c>
      <c r="B554" s="45">
        <v>22551.67</v>
      </c>
      <c r="C554" s="19">
        <f t="shared" si="8"/>
        <v>44651</v>
      </c>
      <c r="D554" s="43"/>
      <c r="E554" s="45"/>
    </row>
    <row r="555" spans="1:5" x14ac:dyDescent="0.3">
      <c r="A555" s="54">
        <v>44649</v>
      </c>
      <c r="B555" s="45">
        <v>22684.14</v>
      </c>
      <c r="C555" s="19">
        <f t="shared" si="8"/>
        <v>44651</v>
      </c>
      <c r="D555" s="43"/>
      <c r="E555" s="45"/>
    </row>
    <row r="556" spans="1:5" x14ac:dyDescent="0.3">
      <c r="A556" s="54">
        <v>44650</v>
      </c>
      <c r="B556" s="45">
        <v>22892.81</v>
      </c>
      <c r="C556" s="19">
        <f t="shared" si="8"/>
        <v>44651</v>
      </c>
      <c r="D556" s="43"/>
      <c r="E556" s="45"/>
    </row>
    <row r="557" spans="1:5" x14ac:dyDescent="0.3">
      <c r="A557" s="54">
        <v>44651</v>
      </c>
      <c r="B557" s="45">
        <v>22889.14</v>
      </c>
      <c r="C557" s="19">
        <f t="shared" si="8"/>
        <v>44651</v>
      </c>
      <c r="D557" s="43"/>
      <c r="E557" s="45"/>
    </row>
    <row r="558" spans="1:5" x14ac:dyDescent="0.3">
      <c r="A558" s="54">
        <v>44652</v>
      </c>
      <c r="B558" s="45">
        <v>23185.39</v>
      </c>
      <c r="C558" s="19">
        <f t="shared" si="8"/>
        <v>44681</v>
      </c>
      <c r="D558" s="43"/>
      <c r="E558" s="45"/>
    </row>
    <row r="559" spans="1:5" x14ac:dyDescent="0.3">
      <c r="A559" s="54">
        <v>44655</v>
      </c>
      <c r="B559" s="45">
        <v>23642.61</v>
      </c>
      <c r="C559" s="19">
        <f t="shared" si="8"/>
        <v>44681</v>
      </c>
      <c r="D559" s="43"/>
      <c r="E559" s="45"/>
    </row>
    <row r="560" spans="1:5" x14ac:dyDescent="0.3">
      <c r="A560" s="54">
        <v>44656</v>
      </c>
      <c r="B560" s="45">
        <v>23653.78</v>
      </c>
      <c r="C560" s="19">
        <f t="shared" si="8"/>
        <v>44681</v>
      </c>
      <c r="D560" s="43"/>
      <c r="E560" s="45"/>
    </row>
    <row r="561" spans="1:5" x14ac:dyDescent="0.3">
      <c r="A561" s="54">
        <v>44657</v>
      </c>
      <c r="B561" s="45">
        <v>23557.599999999999</v>
      </c>
      <c r="C561" s="19">
        <f t="shared" si="8"/>
        <v>44681</v>
      </c>
      <c r="D561" s="43"/>
      <c r="E561" s="45"/>
    </row>
    <row r="562" spans="1:5" x14ac:dyDescent="0.3">
      <c r="A562" s="54">
        <v>44658</v>
      </c>
      <c r="B562" s="45">
        <v>23362.93</v>
      </c>
      <c r="C562" s="19">
        <f t="shared" si="8"/>
        <v>44681</v>
      </c>
      <c r="D562" s="43"/>
      <c r="E562" s="45"/>
    </row>
    <row r="563" spans="1:5" x14ac:dyDescent="0.3">
      <c r="A563" s="54">
        <v>44659</v>
      </c>
      <c r="B563" s="45">
        <v>23579.95</v>
      </c>
      <c r="C563" s="19">
        <f t="shared" si="8"/>
        <v>44681</v>
      </c>
      <c r="D563" s="43"/>
      <c r="E563" s="45"/>
    </row>
    <row r="564" spans="1:5" x14ac:dyDescent="0.3">
      <c r="A564" s="54">
        <v>44662</v>
      </c>
      <c r="B564" s="45">
        <v>23553.95</v>
      </c>
      <c r="C564" s="19">
        <f t="shared" si="8"/>
        <v>44681</v>
      </c>
      <c r="D564" s="43"/>
      <c r="E564" s="45"/>
    </row>
    <row r="565" spans="1:5" x14ac:dyDescent="0.3">
      <c r="A565" s="54">
        <v>44663</v>
      </c>
      <c r="B565" s="45">
        <v>23306.86</v>
      </c>
      <c r="C565" s="19">
        <f t="shared" si="8"/>
        <v>44681</v>
      </c>
      <c r="D565" s="43"/>
      <c r="E565" s="45"/>
    </row>
    <row r="566" spans="1:5" x14ac:dyDescent="0.3">
      <c r="A566" s="54">
        <v>44664</v>
      </c>
      <c r="B566" s="45">
        <v>23266.65</v>
      </c>
      <c r="C566" s="19">
        <f t="shared" si="8"/>
        <v>44681</v>
      </c>
      <c r="D566" s="43"/>
      <c r="E566" s="45"/>
    </row>
    <row r="567" spans="1:5" x14ac:dyDescent="0.3">
      <c r="A567" s="54">
        <v>44669</v>
      </c>
      <c r="B567" s="45">
        <v>22940.09</v>
      </c>
      <c r="C567" s="19">
        <f t="shared" si="8"/>
        <v>44681</v>
      </c>
      <c r="D567" s="43"/>
      <c r="E567" s="45"/>
    </row>
    <row r="568" spans="1:5" x14ac:dyDescent="0.3">
      <c r="A568" s="54">
        <v>44670</v>
      </c>
      <c r="B568" s="45">
        <v>22634.01</v>
      </c>
      <c r="C568" s="19">
        <f t="shared" si="8"/>
        <v>44681</v>
      </c>
      <c r="D568" s="43"/>
      <c r="E568" s="45"/>
    </row>
    <row r="569" spans="1:5" x14ac:dyDescent="0.3">
      <c r="A569" s="54">
        <v>44671</v>
      </c>
      <c r="B569" s="45">
        <v>22824.1</v>
      </c>
      <c r="C569" s="19">
        <f t="shared" si="8"/>
        <v>44681</v>
      </c>
      <c r="D569" s="43"/>
      <c r="E569" s="45"/>
    </row>
    <row r="570" spans="1:5" x14ac:dyDescent="0.3">
      <c r="A570" s="54">
        <v>44672</v>
      </c>
      <c r="B570" s="45">
        <v>23137.67</v>
      </c>
      <c r="C570" s="19">
        <f t="shared" si="8"/>
        <v>44681</v>
      </c>
      <c r="D570" s="43"/>
      <c r="E570" s="45"/>
    </row>
    <row r="571" spans="1:5" x14ac:dyDescent="0.3">
      <c r="A571" s="54">
        <v>44673</v>
      </c>
      <c r="B571" s="45">
        <v>22893.200000000001</v>
      </c>
      <c r="C571" s="19">
        <f t="shared" si="8"/>
        <v>44681</v>
      </c>
      <c r="D571" s="43"/>
      <c r="E571" s="45"/>
    </row>
    <row r="572" spans="1:5" x14ac:dyDescent="0.3">
      <c r="A572" s="54">
        <v>44676</v>
      </c>
      <c r="B572" s="45">
        <v>22552.63</v>
      </c>
      <c r="C572" s="19">
        <f t="shared" si="8"/>
        <v>44681</v>
      </c>
      <c r="D572" s="43"/>
      <c r="E572" s="45"/>
    </row>
    <row r="573" spans="1:5" x14ac:dyDescent="0.3">
      <c r="A573" s="54">
        <v>44677</v>
      </c>
      <c r="B573" s="45">
        <v>22899.02</v>
      </c>
      <c r="C573" s="19">
        <f t="shared" si="8"/>
        <v>44681</v>
      </c>
      <c r="D573" s="43"/>
      <c r="E573" s="45"/>
    </row>
    <row r="574" spans="1:5" x14ac:dyDescent="0.3">
      <c r="A574" s="54">
        <v>44678</v>
      </c>
      <c r="B574" s="45">
        <v>22680.26</v>
      </c>
      <c r="C574" s="19">
        <f t="shared" si="8"/>
        <v>44681</v>
      </c>
      <c r="D574" s="43"/>
      <c r="E574" s="45"/>
    </row>
    <row r="575" spans="1:5" x14ac:dyDescent="0.3">
      <c r="A575" s="54">
        <v>44679</v>
      </c>
      <c r="B575" s="45">
        <v>22926.74</v>
      </c>
      <c r="C575" s="19">
        <f t="shared" si="8"/>
        <v>44681</v>
      </c>
      <c r="D575" s="43"/>
      <c r="E575" s="45"/>
    </row>
    <row r="576" spans="1:5" x14ac:dyDescent="0.3">
      <c r="A576" s="54">
        <v>44680</v>
      </c>
      <c r="B576" s="45">
        <v>22726.01</v>
      </c>
      <c r="C576" s="19">
        <f t="shared" si="8"/>
        <v>44681</v>
      </c>
      <c r="D576" s="43"/>
      <c r="E576" s="45"/>
    </row>
    <row r="577" spans="1:5" x14ac:dyDescent="0.3">
      <c r="A577" s="54">
        <v>44683</v>
      </c>
      <c r="B577" s="45">
        <v>22653.68</v>
      </c>
      <c r="C577" s="19">
        <f t="shared" si="8"/>
        <v>44712</v>
      </c>
      <c r="D577" s="43"/>
      <c r="E577" s="45"/>
    </row>
    <row r="578" spans="1:5" x14ac:dyDescent="0.3">
      <c r="A578" s="54">
        <v>44685</v>
      </c>
      <c r="B578" s="45">
        <v>22126.53</v>
      </c>
      <c r="C578" s="19">
        <f t="shared" ref="C578:C641" si="9">EOMONTH(A578,0)</f>
        <v>44712</v>
      </c>
      <c r="D578" s="43"/>
      <c r="E578" s="45"/>
    </row>
    <row r="579" spans="1:5" x14ac:dyDescent="0.3">
      <c r="A579" s="54">
        <v>44686</v>
      </c>
      <c r="B579" s="45">
        <v>22130.39</v>
      </c>
      <c r="C579" s="19">
        <f t="shared" si="9"/>
        <v>44712</v>
      </c>
      <c r="D579" s="43"/>
      <c r="E579" s="45"/>
    </row>
    <row r="580" spans="1:5" x14ac:dyDescent="0.3">
      <c r="A580" s="54">
        <v>44687</v>
      </c>
      <c r="B580" s="45">
        <v>21746.45</v>
      </c>
      <c r="C580" s="19">
        <f t="shared" si="9"/>
        <v>44712</v>
      </c>
      <c r="D580" s="43"/>
      <c r="E580" s="45"/>
    </row>
    <row r="581" spans="1:5" x14ac:dyDescent="0.3">
      <c r="A581" s="54">
        <v>44690</v>
      </c>
      <c r="B581" s="45">
        <v>21509.71</v>
      </c>
      <c r="C581" s="19">
        <f t="shared" si="9"/>
        <v>44712</v>
      </c>
      <c r="D581" s="43"/>
      <c r="E581" s="45"/>
    </row>
    <row r="582" spans="1:5" x14ac:dyDescent="0.3">
      <c r="A582" s="54">
        <v>44691</v>
      </c>
      <c r="B582" s="45">
        <v>21301.05</v>
      </c>
      <c r="C582" s="19">
        <f t="shared" si="9"/>
        <v>44712</v>
      </c>
      <c r="D582" s="43"/>
      <c r="E582" s="45"/>
    </row>
    <row r="583" spans="1:5" x14ac:dyDescent="0.3">
      <c r="A583" s="54">
        <v>44692</v>
      </c>
      <c r="B583" s="45">
        <v>21171.75</v>
      </c>
      <c r="C583" s="19">
        <f t="shared" si="9"/>
        <v>44712</v>
      </c>
      <c r="D583" s="43"/>
      <c r="E583" s="45"/>
    </row>
    <row r="584" spans="1:5" x14ac:dyDescent="0.3">
      <c r="A584" s="54">
        <v>44693</v>
      </c>
      <c r="B584" s="45">
        <v>20714.03</v>
      </c>
      <c r="C584" s="19">
        <f t="shared" si="9"/>
        <v>44712</v>
      </c>
      <c r="D584" s="43"/>
      <c r="E584" s="45"/>
    </row>
    <row r="585" spans="1:5" x14ac:dyDescent="0.3">
      <c r="A585" s="54">
        <v>44694</v>
      </c>
      <c r="B585" s="45">
        <v>20723.68</v>
      </c>
      <c r="C585" s="19">
        <f t="shared" si="9"/>
        <v>44712</v>
      </c>
      <c r="D585" s="43"/>
      <c r="E585" s="45"/>
    </row>
    <row r="586" spans="1:5" x14ac:dyDescent="0.3">
      <c r="A586" s="54">
        <v>44697</v>
      </c>
      <c r="B586" s="45">
        <v>20877.04</v>
      </c>
      <c r="C586" s="19">
        <f t="shared" si="9"/>
        <v>44712</v>
      </c>
      <c r="D586" s="43"/>
      <c r="E586" s="45"/>
    </row>
    <row r="587" spans="1:5" x14ac:dyDescent="0.3">
      <c r="A587" s="54">
        <v>44698</v>
      </c>
      <c r="B587" s="45">
        <v>21423.03</v>
      </c>
      <c r="C587" s="19">
        <f t="shared" si="9"/>
        <v>44712</v>
      </c>
      <c r="D587" s="43"/>
      <c r="E587" s="45"/>
    </row>
    <row r="588" spans="1:5" x14ac:dyDescent="0.3">
      <c r="A588" s="54">
        <v>44699</v>
      </c>
      <c r="B588" s="45">
        <v>21410.98</v>
      </c>
      <c r="C588" s="19">
        <f t="shared" si="9"/>
        <v>44712</v>
      </c>
      <c r="D588" s="43"/>
      <c r="E588" s="45"/>
    </row>
    <row r="589" spans="1:5" x14ac:dyDescent="0.3">
      <c r="A589" s="54">
        <v>44700</v>
      </c>
      <c r="B589" s="45">
        <v>20845.900000000001</v>
      </c>
      <c r="C589" s="19">
        <f t="shared" si="9"/>
        <v>44712</v>
      </c>
      <c r="D589" s="43"/>
      <c r="E589" s="45"/>
    </row>
    <row r="590" spans="1:5" x14ac:dyDescent="0.3">
      <c r="A590" s="54">
        <v>44701</v>
      </c>
      <c r="B590" s="45">
        <v>21375.43</v>
      </c>
      <c r="C590" s="19">
        <f t="shared" si="9"/>
        <v>44712</v>
      </c>
      <c r="D590" s="43"/>
      <c r="E590" s="45"/>
    </row>
    <row r="591" spans="1:5" x14ac:dyDescent="0.3">
      <c r="A591" s="54">
        <v>44704</v>
      </c>
      <c r="B591" s="45">
        <v>21284.62</v>
      </c>
      <c r="C591" s="19">
        <f t="shared" si="9"/>
        <v>44712</v>
      </c>
      <c r="D591" s="43"/>
      <c r="E591" s="45"/>
    </row>
    <row r="592" spans="1:5" x14ac:dyDescent="0.3">
      <c r="A592" s="54">
        <v>44705</v>
      </c>
      <c r="B592" s="45">
        <v>21148.400000000001</v>
      </c>
      <c r="C592" s="19">
        <f t="shared" si="9"/>
        <v>44712</v>
      </c>
      <c r="D592" s="43"/>
      <c r="E592" s="45"/>
    </row>
    <row r="593" spans="1:5" x14ac:dyDescent="0.3">
      <c r="A593" s="54">
        <v>44706</v>
      </c>
      <c r="B593" s="45">
        <v>20912.97</v>
      </c>
      <c r="C593" s="19">
        <f t="shared" si="9"/>
        <v>44712</v>
      </c>
      <c r="D593" s="43"/>
      <c r="E593" s="45"/>
    </row>
    <row r="594" spans="1:5" x14ac:dyDescent="0.3">
      <c r="A594" s="54">
        <v>44707</v>
      </c>
      <c r="B594" s="45">
        <v>21131.35</v>
      </c>
      <c r="C594" s="19">
        <f t="shared" si="9"/>
        <v>44712</v>
      </c>
      <c r="D594" s="43"/>
      <c r="E594" s="45"/>
    </row>
    <row r="595" spans="1:5" x14ac:dyDescent="0.3">
      <c r="A595" s="54">
        <v>44708</v>
      </c>
      <c r="B595" s="45">
        <v>21363.35</v>
      </c>
      <c r="C595" s="19">
        <f t="shared" si="9"/>
        <v>44712</v>
      </c>
      <c r="D595" s="43"/>
      <c r="E595" s="45"/>
    </row>
    <row r="596" spans="1:5" x14ac:dyDescent="0.3">
      <c r="A596" s="54">
        <v>44711</v>
      </c>
      <c r="B596" s="45">
        <v>21797.25</v>
      </c>
      <c r="C596" s="19">
        <f t="shared" si="9"/>
        <v>44712</v>
      </c>
      <c r="D596" s="43"/>
      <c r="E596" s="45"/>
    </row>
    <row r="597" spans="1:5" x14ac:dyDescent="0.3">
      <c r="A597" s="54">
        <v>44712</v>
      </c>
      <c r="B597" s="45">
        <v>21765.82</v>
      </c>
      <c r="C597" s="19">
        <f t="shared" si="9"/>
        <v>44712</v>
      </c>
      <c r="D597" s="43"/>
      <c r="E597" s="45"/>
    </row>
    <row r="598" spans="1:5" x14ac:dyDescent="0.3">
      <c r="A598" s="54">
        <v>44713</v>
      </c>
      <c r="B598" s="45">
        <v>21709.49</v>
      </c>
      <c r="C598" s="19">
        <f t="shared" si="9"/>
        <v>44742</v>
      </c>
      <c r="D598" s="43"/>
      <c r="E598" s="45"/>
    </row>
    <row r="599" spans="1:5" x14ac:dyDescent="0.3">
      <c r="A599" s="54">
        <v>44714</v>
      </c>
      <c r="B599" s="45">
        <v>21841.16</v>
      </c>
      <c r="C599" s="19">
        <f t="shared" si="9"/>
        <v>44742</v>
      </c>
      <c r="D599" s="43"/>
      <c r="E599" s="45"/>
    </row>
    <row r="600" spans="1:5" x14ac:dyDescent="0.3">
      <c r="A600" s="54">
        <v>44715</v>
      </c>
      <c r="B600" s="45">
        <v>21702.58</v>
      </c>
      <c r="C600" s="19">
        <f t="shared" si="9"/>
        <v>44742</v>
      </c>
      <c r="D600" s="43"/>
      <c r="E600" s="45"/>
    </row>
    <row r="601" spans="1:5" x14ac:dyDescent="0.3">
      <c r="A601" s="54">
        <v>44718</v>
      </c>
      <c r="B601" s="45">
        <v>21666.17</v>
      </c>
      <c r="C601" s="19">
        <f t="shared" si="9"/>
        <v>44742</v>
      </c>
      <c r="D601" s="43"/>
      <c r="E601" s="45"/>
    </row>
    <row r="602" spans="1:5" x14ac:dyDescent="0.3">
      <c r="A602" s="54">
        <v>44719</v>
      </c>
      <c r="B602" s="45">
        <v>21483.599999999999</v>
      </c>
      <c r="C602" s="19">
        <f t="shared" si="9"/>
        <v>44742</v>
      </c>
      <c r="D602" s="43"/>
      <c r="E602" s="45"/>
    </row>
    <row r="603" spans="1:5" x14ac:dyDescent="0.3">
      <c r="A603" s="54">
        <v>44720</v>
      </c>
      <c r="B603" s="45">
        <v>21483.599999999999</v>
      </c>
      <c r="C603" s="19">
        <f t="shared" si="9"/>
        <v>44742</v>
      </c>
      <c r="D603" s="43"/>
      <c r="E603" s="45"/>
    </row>
    <row r="604" spans="1:5" x14ac:dyDescent="0.3">
      <c r="A604" s="54">
        <v>44721</v>
      </c>
      <c r="B604" s="45">
        <v>21551</v>
      </c>
      <c r="C604" s="19">
        <f t="shared" si="9"/>
        <v>44742</v>
      </c>
      <c r="D604" s="43"/>
      <c r="E604" s="45"/>
    </row>
    <row r="605" spans="1:5" x14ac:dyDescent="0.3">
      <c r="A605" s="54">
        <v>44722</v>
      </c>
      <c r="B605" s="45">
        <v>21250.32</v>
      </c>
      <c r="C605" s="19">
        <f t="shared" si="9"/>
        <v>44742</v>
      </c>
      <c r="D605" s="43"/>
      <c r="E605" s="45"/>
    </row>
    <row r="606" spans="1:5" x14ac:dyDescent="0.3">
      <c r="A606" s="54">
        <v>44725</v>
      </c>
      <c r="B606" s="45">
        <v>20687.8</v>
      </c>
      <c r="C606" s="19">
        <f t="shared" si="9"/>
        <v>44742</v>
      </c>
      <c r="D606" s="43"/>
      <c r="E606" s="45"/>
    </row>
    <row r="607" spans="1:5" x14ac:dyDescent="0.3">
      <c r="A607" s="54">
        <v>44726</v>
      </c>
      <c r="B607" s="45">
        <v>20644.23</v>
      </c>
      <c r="C607" s="19">
        <f t="shared" si="9"/>
        <v>44742</v>
      </c>
      <c r="D607" s="43"/>
      <c r="E607" s="45"/>
    </row>
    <row r="608" spans="1:5" x14ac:dyDescent="0.3">
      <c r="A608" s="54">
        <v>44727</v>
      </c>
      <c r="B608" s="45">
        <v>20646.77</v>
      </c>
      <c r="C608" s="19">
        <f t="shared" si="9"/>
        <v>44742</v>
      </c>
      <c r="D608" s="43"/>
      <c r="E608" s="45"/>
    </row>
    <row r="609" spans="1:5" x14ac:dyDescent="0.3">
      <c r="A609" s="54">
        <v>44728</v>
      </c>
      <c r="B609" s="45">
        <v>20197</v>
      </c>
      <c r="C609" s="19">
        <f t="shared" si="9"/>
        <v>44742</v>
      </c>
      <c r="D609" s="43"/>
      <c r="E609" s="45"/>
    </row>
    <row r="610" spans="1:5" x14ac:dyDescent="0.3">
      <c r="A610" s="54">
        <v>44729</v>
      </c>
      <c r="B610" s="45">
        <v>20052.330000000002</v>
      </c>
      <c r="C610" s="19">
        <f t="shared" si="9"/>
        <v>44742</v>
      </c>
      <c r="D610" s="43"/>
      <c r="E610" s="45"/>
    </row>
    <row r="611" spans="1:5" x14ac:dyDescent="0.3">
      <c r="A611" s="54">
        <v>44732</v>
      </c>
      <c r="B611" s="45">
        <v>19985.84</v>
      </c>
      <c r="C611" s="19">
        <f t="shared" si="9"/>
        <v>44742</v>
      </c>
      <c r="D611" s="43"/>
      <c r="E611" s="45"/>
    </row>
    <row r="612" spans="1:5" x14ac:dyDescent="0.3">
      <c r="A612" s="54">
        <v>44733</v>
      </c>
      <c r="B612" s="45">
        <v>20435.5</v>
      </c>
      <c r="C612" s="19">
        <f t="shared" si="9"/>
        <v>44742</v>
      </c>
      <c r="D612" s="43"/>
      <c r="E612" s="45"/>
    </row>
    <row r="613" spans="1:5" x14ac:dyDescent="0.3">
      <c r="A613" s="54">
        <v>44734</v>
      </c>
      <c r="B613" s="45">
        <v>20136.400000000001</v>
      </c>
      <c r="C613" s="19">
        <f t="shared" si="9"/>
        <v>44742</v>
      </c>
      <c r="D613" s="43"/>
      <c r="E613" s="45"/>
    </row>
    <row r="614" spans="1:5" x14ac:dyDescent="0.3">
      <c r="A614" s="54">
        <v>44735</v>
      </c>
      <c r="B614" s="45">
        <v>20339.150000000001</v>
      </c>
      <c r="C614" s="19">
        <f t="shared" si="9"/>
        <v>44742</v>
      </c>
      <c r="D614" s="43"/>
      <c r="E614" s="45"/>
    </row>
    <row r="615" spans="1:5" x14ac:dyDescent="0.3">
      <c r="A615" s="54">
        <v>44736</v>
      </c>
      <c r="B615" s="45">
        <v>20561.02</v>
      </c>
      <c r="C615" s="19">
        <f t="shared" si="9"/>
        <v>44742</v>
      </c>
      <c r="D615" s="43"/>
      <c r="E615" s="45"/>
    </row>
    <row r="616" spans="1:5" x14ac:dyDescent="0.3">
      <c r="A616" s="54">
        <v>44739</v>
      </c>
      <c r="B616" s="45">
        <v>20749.400000000001</v>
      </c>
      <c r="C616" s="19">
        <f t="shared" si="9"/>
        <v>44742</v>
      </c>
      <c r="D616" s="43"/>
      <c r="E616" s="45"/>
    </row>
    <row r="617" spans="1:5" x14ac:dyDescent="0.3">
      <c r="A617" s="54">
        <v>44740</v>
      </c>
      <c r="B617" s="45">
        <v>20779.919999999998</v>
      </c>
      <c r="C617" s="19">
        <f t="shared" si="9"/>
        <v>44742</v>
      </c>
      <c r="D617" s="43"/>
      <c r="E617" s="45"/>
    </row>
    <row r="618" spans="1:5" x14ac:dyDescent="0.3">
      <c r="A618" s="54">
        <v>44741</v>
      </c>
      <c r="B618" s="45">
        <v>20708.330000000002</v>
      </c>
      <c r="C618" s="19">
        <f t="shared" si="9"/>
        <v>44742</v>
      </c>
      <c r="D618" s="43"/>
      <c r="E618" s="45"/>
    </row>
    <row r="619" spans="1:5" x14ac:dyDescent="0.3">
      <c r="A619" s="54">
        <v>44742</v>
      </c>
      <c r="B619" s="45">
        <v>20667.27</v>
      </c>
      <c r="C619" s="19">
        <f t="shared" si="9"/>
        <v>44742</v>
      </c>
      <c r="D619" s="43"/>
      <c r="E619" s="45"/>
    </row>
    <row r="620" spans="1:5" x14ac:dyDescent="0.3">
      <c r="A620" s="54">
        <v>44743</v>
      </c>
      <c r="B620" s="45">
        <v>20678.080000000002</v>
      </c>
      <c r="C620" s="19">
        <f t="shared" si="9"/>
        <v>44773</v>
      </c>
      <c r="D620" s="43"/>
      <c r="E620" s="45"/>
    </row>
    <row r="621" spans="1:5" x14ac:dyDescent="0.3">
      <c r="A621" s="54">
        <v>44746</v>
      </c>
      <c r="B621" s="45">
        <v>20802.77</v>
      </c>
      <c r="C621" s="19">
        <f t="shared" si="9"/>
        <v>44773</v>
      </c>
      <c r="D621" s="43"/>
      <c r="E621" s="45"/>
    </row>
    <row r="622" spans="1:5" x14ac:dyDescent="0.3">
      <c r="A622" s="54">
        <v>44747</v>
      </c>
      <c r="B622" s="45">
        <v>20787.259999999998</v>
      </c>
      <c r="C622" s="19">
        <f t="shared" si="9"/>
        <v>44773</v>
      </c>
      <c r="D622" s="43"/>
      <c r="E622" s="45"/>
    </row>
    <row r="623" spans="1:5" x14ac:dyDescent="0.3">
      <c r="A623" s="54">
        <v>44748</v>
      </c>
      <c r="B623" s="45">
        <v>21048.95</v>
      </c>
      <c r="C623" s="19">
        <f t="shared" si="9"/>
        <v>44773</v>
      </c>
      <c r="D623" s="43"/>
      <c r="E623" s="45"/>
    </row>
    <row r="624" spans="1:5" x14ac:dyDescent="0.3">
      <c r="A624" s="54">
        <v>44749</v>
      </c>
      <c r="B624" s="45">
        <v>21257.79</v>
      </c>
      <c r="C624" s="19">
        <f t="shared" si="9"/>
        <v>44773</v>
      </c>
      <c r="D624" s="43"/>
      <c r="E624" s="45"/>
    </row>
    <row r="625" spans="1:5" x14ac:dyDescent="0.3">
      <c r="A625" s="54">
        <v>44750</v>
      </c>
      <c r="B625" s="45">
        <v>21355.42</v>
      </c>
      <c r="C625" s="19">
        <f t="shared" si="9"/>
        <v>44773</v>
      </c>
      <c r="D625" s="43"/>
      <c r="E625" s="45"/>
    </row>
    <row r="626" spans="1:5" x14ac:dyDescent="0.3">
      <c r="A626" s="54">
        <v>44753</v>
      </c>
      <c r="B626" s="45">
        <v>21446.79</v>
      </c>
      <c r="C626" s="19">
        <f t="shared" si="9"/>
        <v>44773</v>
      </c>
      <c r="D626" s="43"/>
      <c r="E626" s="45"/>
    </row>
    <row r="627" spans="1:5" x14ac:dyDescent="0.3">
      <c r="A627" s="54">
        <v>44754</v>
      </c>
      <c r="B627" s="45">
        <v>21281.05</v>
      </c>
      <c r="C627" s="19">
        <f t="shared" si="9"/>
        <v>44773</v>
      </c>
      <c r="D627" s="43"/>
      <c r="E627" s="45"/>
    </row>
    <row r="628" spans="1:5" x14ac:dyDescent="0.3">
      <c r="A628" s="54">
        <v>44755</v>
      </c>
      <c r="B628" s="45">
        <v>21200.87</v>
      </c>
      <c r="C628" s="19">
        <f t="shared" si="9"/>
        <v>44773</v>
      </c>
      <c r="D628" s="43"/>
      <c r="E628" s="45"/>
    </row>
    <row r="629" spans="1:5" x14ac:dyDescent="0.3">
      <c r="A629" s="54">
        <v>44756</v>
      </c>
      <c r="B629" s="45">
        <v>21171.19</v>
      </c>
      <c r="C629" s="19">
        <f t="shared" si="9"/>
        <v>44773</v>
      </c>
      <c r="D629" s="43"/>
      <c r="E629" s="45"/>
    </row>
    <row r="630" spans="1:5" x14ac:dyDescent="0.3">
      <c r="A630" s="54">
        <v>44757</v>
      </c>
      <c r="B630" s="45">
        <v>21306.94</v>
      </c>
      <c r="C630" s="19">
        <f t="shared" si="9"/>
        <v>44773</v>
      </c>
      <c r="D630" s="43"/>
      <c r="E630" s="45"/>
    </row>
    <row r="631" spans="1:5" x14ac:dyDescent="0.3">
      <c r="A631" s="54">
        <v>44760</v>
      </c>
      <c r="B631" s="45">
        <v>21606.99</v>
      </c>
      <c r="C631" s="19">
        <f t="shared" si="9"/>
        <v>44773</v>
      </c>
      <c r="D631" s="43"/>
      <c r="E631" s="45"/>
    </row>
    <row r="632" spans="1:5" x14ac:dyDescent="0.3">
      <c r="A632" s="54">
        <v>44761</v>
      </c>
      <c r="B632" s="45">
        <v>21714.15</v>
      </c>
      <c r="C632" s="19">
        <f t="shared" si="9"/>
        <v>44773</v>
      </c>
      <c r="D632" s="43"/>
      <c r="E632" s="45"/>
    </row>
    <row r="633" spans="1:5" x14ac:dyDescent="0.3">
      <c r="A633" s="54">
        <v>44762</v>
      </c>
      <c r="B633" s="45">
        <v>21888.95</v>
      </c>
      <c r="C633" s="19">
        <f t="shared" si="9"/>
        <v>44773</v>
      </c>
      <c r="D633" s="43"/>
      <c r="E633" s="45"/>
    </row>
    <row r="634" spans="1:5" x14ac:dyDescent="0.3">
      <c r="A634" s="54">
        <v>44763</v>
      </c>
      <c r="B634" s="45">
        <v>22064.83</v>
      </c>
      <c r="C634" s="19">
        <f t="shared" si="9"/>
        <v>44773</v>
      </c>
      <c r="D634" s="43"/>
      <c r="E634" s="45"/>
    </row>
    <row r="635" spans="1:5" x14ac:dyDescent="0.3">
      <c r="A635" s="54">
        <v>44764</v>
      </c>
      <c r="B635" s="45">
        <v>22165.119999999999</v>
      </c>
      <c r="C635" s="19">
        <f t="shared" si="9"/>
        <v>44773</v>
      </c>
      <c r="D635" s="43"/>
      <c r="E635" s="45"/>
    </row>
    <row r="636" spans="1:5" x14ac:dyDescent="0.3">
      <c r="A636" s="54">
        <v>44767</v>
      </c>
      <c r="B636" s="45">
        <v>22077.13</v>
      </c>
      <c r="C636" s="19">
        <f t="shared" si="9"/>
        <v>44773</v>
      </c>
      <c r="D636" s="43"/>
      <c r="E636" s="45"/>
    </row>
    <row r="637" spans="1:5" x14ac:dyDescent="0.3">
      <c r="A637" s="54">
        <v>44768</v>
      </c>
      <c r="B637" s="45">
        <v>21864.15</v>
      </c>
      <c r="C637" s="19">
        <f t="shared" si="9"/>
        <v>44773</v>
      </c>
      <c r="D637" s="43"/>
      <c r="E637" s="45"/>
    </row>
    <row r="638" spans="1:5" x14ac:dyDescent="0.3">
      <c r="A638" s="54">
        <v>44769</v>
      </c>
      <c r="B638" s="45">
        <v>22053.68</v>
      </c>
      <c r="C638" s="19">
        <f t="shared" si="9"/>
        <v>44773</v>
      </c>
      <c r="D638" s="43"/>
      <c r="E638" s="45"/>
    </row>
    <row r="639" spans="1:5" x14ac:dyDescent="0.3">
      <c r="A639" s="54">
        <v>44770</v>
      </c>
      <c r="B639" s="45">
        <v>22374.32</v>
      </c>
      <c r="C639" s="19">
        <f t="shared" si="9"/>
        <v>44773</v>
      </c>
      <c r="D639" s="43"/>
      <c r="E639" s="45"/>
    </row>
    <row r="640" spans="1:5" x14ac:dyDescent="0.3">
      <c r="A640" s="54">
        <v>44771</v>
      </c>
      <c r="B640" s="45">
        <v>22678.29</v>
      </c>
      <c r="C640" s="19">
        <f t="shared" si="9"/>
        <v>44773</v>
      </c>
      <c r="D640" s="43"/>
      <c r="E640" s="45"/>
    </row>
    <row r="641" spans="1:5" x14ac:dyDescent="0.3">
      <c r="A641" s="54">
        <v>44774</v>
      </c>
      <c r="B641" s="45">
        <v>22960.55</v>
      </c>
      <c r="C641" s="19">
        <f t="shared" si="9"/>
        <v>44804</v>
      </c>
      <c r="D641" s="43"/>
      <c r="E641" s="45"/>
    </row>
    <row r="642" spans="1:5" x14ac:dyDescent="0.3">
      <c r="A642" s="54">
        <v>44775</v>
      </c>
      <c r="B642" s="45">
        <v>23008.71</v>
      </c>
      <c r="C642" s="19">
        <f t="shared" ref="C642:C705" si="10">EOMONTH(A642,0)</f>
        <v>44804</v>
      </c>
      <c r="D642" s="43"/>
      <c r="E642" s="45"/>
    </row>
    <row r="643" spans="1:5" x14ac:dyDescent="0.3">
      <c r="A643" s="54">
        <v>44776</v>
      </c>
      <c r="B643" s="45">
        <v>23012.66</v>
      </c>
      <c r="C643" s="19">
        <f t="shared" si="10"/>
        <v>44804</v>
      </c>
      <c r="D643" s="43"/>
      <c r="E643" s="45"/>
    </row>
    <row r="644" spans="1:5" x14ac:dyDescent="0.3">
      <c r="A644" s="54">
        <v>44777</v>
      </c>
      <c r="B644" s="45">
        <v>23035.97</v>
      </c>
      <c r="C644" s="19">
        <f t="shared" si="10"/>
        <v>44804</v>
      </c>
      <c r="D644" s="43"/>
      <c r="E644" s="45"/>
    </row>
    <row r="645" spans="1:5" x14ac:dyDescent="0.3">
      <c r="A645" s="54">
        <v>44778</v>
      </c>
      <c r="B645" s="45">
        <v>23048.31</v>
      </c>
      <c r="C645" s="19">
        <f t="shared" si="10"/>
        <v>44804</v>
      </c>
      <c r="D645" s="43"/>
      <c r="E645" s="45"/>
    </row>
    <row r="646" spans="1:5" x14ac:dyDescent="0.3">
      <c r="A646" s="54">
        <v>44781</v>
      </c>
      <c r="B646" s="45">
        <v>23199.97</v>
      </c>
      <c r="C646" s="19">
        <f t="shared" si="10"/>
        <v>44804</v>
      </c>
      <c r="D646" s="43"/>
      <c r="E646" s="45"/>
    </row>
    <row r="647" spans="1:5" x14ac:dyDescent="0.3">
      <c r="A647" s="54">
        <v>44783</v>
      </c>
      <c r="B647" s="45">
        <v>23191.7</v>
      </c>
      <c r="C647" s="19">
        <f t="shared" si="10"/>
        <v>44804</v>
      </c>
      <c r="D647" s="43"/>
      <c r="E647" s="45"/>
    </row>
    <row r="648" spans="1:5" x14ac:dyDescent="0.3">
      <c r="A648" s="54">
        <v>44784</v>
      </c>
      <c r="B648" s="45">
        <v>23369.29</v>
      </c>
      <c r="C648" s="19">
        <f t="shared" si="10"/>
        <v>44804</v>
      </c>
      <c r="D648" s="43"/>
      <c r="E648" s="45"/>
    </row>
    <row r="649" spans="1:5" x14ac:dyDescent="0.3">
      <c r="A649" s="54">
        <v>44785</v>
      </c>
      <c r="B649" s="45">
        <v>23440.39</v>
      </c>
      <c r="C649" s="19">
        <f t="shared" si="10"/>
        <v>44804</v>
      </c>
      <c r="D649" s="43"/>
      <c r="E649" s="45"/>
    </row>
    <row r="650" spans="1:5" x14ac:dyDescent="0.3">
      <c r="A650" s="54">
        <v>44789</v>
      </c>
      <c r="B650" s="45">
        <v>23657</v>
      </c>
      <c r="C650" s="19">
        <f t="shared" si="10"/>
        <v>44804</v>
      </c>
      <c r="D650" s="43"/>
      <c r="E650" s="45"/>
    </row>
    <row r="651" spans="1:5" x14ac:dyDescent="0.3">
      <c r="A651" s="54">
        <v>44790</v>
      </c>
      <c r="B651" s="45">
        <v>23809.95</v>
      </c>
      <c r="C651" s="19">
        <f t="shared" si="10"/>
        <v>44804</v>
      </c>
      <c r="D651" s="43"/>
      <c r="E651" s="45"/>
    </row>
    <row r="652" spans="1:5" x14ac:dyDescent="0.3">
      <c r="A652" s="54">
        <v>44791</v>
      </c>
      <c r="B652" s="45">
        <v>23858.77</v>
      </c>
      <c r="C652" s="19">
        <f t="shared" si="10"/>
        <v>44804</v>
      </c>
      <c r="D652" s="43"/>
      <c r="E652" s="45"/>
    </row>
    <row r="653" spans="1:5" x14ac:dyDescent="0.3">
      <c r="A653" s="54">
        <v>44792</v>
      </c>
      <c r="B653" s="45">
        <v>23602.41</v>
      </c>
      <c r="C653" s="19">
        <f t="shared" si="10"/>
        <v>44804</v>
      </c>
      <c r="D653" s="43"/>
      <c r="E653" s="45"/>
    </row>
    <row r="654" spans="1:5" x14ac:dyDescent="0.3">
      <c r="A654" s="54">
        <v>44795</v>
      </c>
      <c r="B654" s="45">
        <v>23238.86</v>
      </c>
      <c r="C654" s="19">
        <f t="shared" si="10"/>
        <v>44804</v>
      </c>
      <c r="D654" s="43"/>
      <c r="E654" s="45"/>
    </row>
    <row r="655" spans="1:5" x14ac:dyDescent="0.3">
      <c r="A655" s="54">
        <v>44796</v>
      </c>
      <c r="B655" s="45">
        <v>23376.55</v>
      </c>
      <c r="C655" s="19">
        <f t="shared" si="10"/>
        <v>44804</v>
      </c>
      <c r="D655" s="43"/>
      <c r="E655" s="45"/>
    </row>
    <row r="656" spans="1:5" x14ac:dyDescent="0.3">
      <c r="A656" s="54">
        <v>44797</v>
      </c>
      <c r="B656" s="45">
        <v>23453.99</v>
      </c>
      <c r="C656" s="19">
        <f t="shared" si="10"/>
        <v>44804</v>
      </c>
      <c r="D656" s="43"/>
      <c r="E656" s="45"/>
    </row>
    <row r="657" spans="1:5" x14ac:dyDescent="0.3">
      <c r="A657" s="54">
        <v>44798</v>
      </c>
      <c r="B657" s="45">
        <v>23392.71</v>
      </c>
      <c r="C657" s="19">
        <f t="shared" si="10"/>
        <v>44804</v>
      </c>
      <c r="D657" s="43"/>
      <c r="E657" s="45"/>
    </row>
    <row r="658" spans="1:5" x14ac:dyDescent="0.3">
      <c r="A658" s="54">
        <v>44799</v>
      </c>
      <c r="B658" s="45">
        <v>23465.33</v>
      </c>
      <c r="C658" s="19">
        <f t="shared" si="10"/>
        <v>44804</v>
      </c>
      <c r="D658" s="43"/>
      <c r="E658" s="45"/>
    </row>
    <row r="659" spans="1:5" x14ac:dyDescent="0.3">
      <c r="A659" s="54">
        <v>44802</v>
      </c>
      <c r="B659" s="45">
        <v>23194.58</v>
      </c>
      <c r="C659" s="19">
        <f t="shared" si="10"/>
        <v>44804</v>
      </c>
      <c r="D659" s="43"/>
      <c r="E659" s="45"/>
    </row>
    <row r="660" spans="1:5" x14ac:dyDescent="0.3">
      <c r="A660" s="54">
        <v>44803</v>
      </c>
      <c r="B660" s="45">
        <v>23740.37</v>
      </c>
      <c r="C660" s="19">
        <f t="shared" si="10"/>
        <v>44804</v>
      </c>
      <c r="D660" s="43"/>
      <c r="E660" s="45"/>
    </row>
    <row r="661" spans="1:5" x14ac:dyDescent="0.3">
      <c r="A661" s="54">
        <v>44805</v>
      </c>
      <c r="B661" s="45">
        <v>23564.7</v>
      </c>
      <c r="C661" s="19">
        <f t="shared" si="10"/>
        <v>44834</v>
      </c>
      <c r="D661" s="43"/>
      <c r="E661" s="45"/>
    </row>
    <row r="662" spans="1:5" x14ac:dyDescent="0.3">
      <c r="A662" s="54">
        <v>44806</v>
      </c>
      <c r="B662" s="45">
        <v>23550.07</v>
      </c>
      <c r="C662" s="19">
        <f t="shared" si="10"/>
        <v>44834</v>
      </c>
      <c r="D662" s="43"/>
      <c r="E662" s="45"/>
    </row>
    <row r="663" spans="1:5" x14ac:dyDescent="0.3">
      <c r="A663" s="54">
        <v>44809</v>
      </c>
      <c r="B663" s="45">
        <v>23693.79</v>
      </c>
      <c r="C663" s="19">
        <f t="shared" si="10"/>
        <v>44834</v>
      </c>
      <c r="D663" s="43"/>
      <c r="E663" s="45"/>
    </row>
    <row r="664" spans="1:5" x14ac:dyDescent="0.3">
      <c r="A664" s="54">
        <v>44810</v>
      </c>
      <c r="B664" s="45">
        <v>23722.71</v>
      </c>
      <c r="C664" s="19">
        <f t="shared" si="10"/>
        <v>44834</v>
      </c>
      <c r="D664" s="43"/>
      <c r="E664" s="45"/>
    </row>
    <row r="665" spans="1:5" x14ac:dyDescent="0.3">
      <c r="A665" s="54">
        <v>44811</v>
      </c>
      <c r="B665" s="45">
        <v>23732.85</v>
      </c>
      <c r="C665" s="19">
        <f t="shared" si="10"/>
        <v>44834</v>
      </c>
      <c r="D665" s="43"/>
      <c r="E665" s="45"/>
    </row>
    <row r="666" spans="1:5" x14ac:dyDescent="0.3">
      <c r="A666" s="54">
        <v>44812</v>
      </c>
      <c r="B666" s="45">
        <v>23921</v>
      </c>
      <c r="C666" s="19">
        <f t="shared" si="10"/>
        <v>44834</v>
      </c>
      <c r="D666" s="43"/>
      <c r="E666" s="45"/>
    </row>
    <row r="667" spans="1:5" x14ac:dyDescent="0.3">
      <c r="A667" s="54">
        <v>44813</v>
      </c>
      <c r="B667" s="45">
        <v>23962.62</v>
      </c>
      <c r="C667" s="19">
        <f t="shared" si="10"/>
        <v>44834</v>
      </c>
      <c r="D667" s="43"/>
      <c r="E667" s="45"/>
    </row>
    <row r="668" spans="1:5" x14ac:dyDescent="0.3">
      <c r="A668" s="54">
        <v>44816</v>
      </c>
      <c r="B668" s="45">
        <v>24133.13</v>
      </c>
      <c r="C668" s="19">
        <f t="shared" si="10"/>
        <v>44834</v>
      </c>
      <c r="D668" s="43"/>
      <c r="E668" s="45"/>
    </row>
    <row r="669" spans="1:5" x14ac:dyDescent="0.3">
      <c r="A669" s="54">
        <v>44817</v>
      </c>
      <c r="B669" s="45">
        <v>24276.42</v>
      </c>
      <c r="C669" s="19">
        <f t="shared" si="10"/>
        <v>44834</v>
      </c>
      <c r="D669" s="43"/>
      <c r="E669" s="45"/>
    </row>
    <row r="670" spans="1:5" x14ac:dyDescent="0.3">
      <c r="A670" s="54">
        <v>44818</v>
      </c>
      <c r="B670" s="45">
        <v>24215.82</v>
      </c>
      <c r="C670" s="19">
        <f t="shared" si="10"/>
        <v>44834</v>
      </c>
      <c r="D670" s="43"/>
      <c r="E670" s="45"/>
    </row>
    <row r="671" spans="1:5" x14ac:dyDescent="0.3">
      <c r="A671" s="54">
        <v>44819</v>
      </c>
      <c r="B671" s="45">
        <v>24139.94</v>
      </c>
      <c r="C671" s="19">
        <f t="shared" si="10"/>
        <v>44834</v>
      </c>
      <c r="D671" s="43"/>
      <c r="E671" s="45"/>
    </row>
    <row r="672" spans="1:5" x14ac:dyDescent="0.3">
      <c r="A672" s="54">
        <v>44820</v>
      </c>
      <c r="B672" s="45">
        <v>23618.75</v>
      </c>
      <c r="C672" s="19">
        <f t="shared" si="10"/>
        <v>44834</v>
      </c>
      <c r="D672" s="43"/>
      <c r="E672" s="45"/>
    </row>
    <row r="673" spans="1:5" x14ac:dyDescent="0.3">
      <c r="A673" s="54">
        <v>44823</v>
      </c>
      <c r="B673" s="45">
        <v>23696.71</v>
      </c>
      <c r="C673" s="19">
        <f t="shared" si="10"/>
        <v>44834</v>
      </c>
      <c r="D673" s="43"/>
      <c r="E673" s="45"/>
    </row>
    <row r="674" spans="1:5" x14ac:dyDescent="0.3">
      <c r="A674" s="54">
        <v>44824</v>
      </c>
      <c r="B674" s="45">
        <v>23971.119999999999</v>
      </c>
      <c r="C674" s="19">
        <f t="shared" si="10"/>
        <v>44834</v>
      </c>
      <c r="D674" s="43"/>
      <c r="E674" s="45"/>
    </row>
    <row r="675" spans="1:5" x14ac:dyDescent="0.3">
      <c r="A675" s="54">
        <v>44825</v>
      </c>
      <c r="B675" s="45">
        <v>23802.29</v>
      </c>
      <c r="C675" s="19">
        <f t="shared" si="10"/>
        <v>44834</v>
      </c>
      <c r="D675" s="43"/>
      <c r="E675" s="45"/>
    </row>
    <row r="676" spans="1:5" x14ac:dyDescent="0.3">
      <c r="A676" s="54">
        <v>44826</v>
      </c>
      <c r="B676" s="45">
        <v>23763.439999999999</v>
      </c>
      <c r="C676" s="19">
        <f t="shared" si="10"/>
        <v>44834</v>
      </c>
      <c r="D676" s="43"/>
      <c r="E676" s="45"/>
    </row>
    <row r="677" spans="1:5" x14ac:dyDescent="0.3">
      <c r="A677" s="54">
        <v>44827</v>
      </c>
      <c r="B677" s="45">
        <v>23333.25</v>
      </c>
      <c r="C677" s="19">
        <f t="shared" si="10"/>
        <v>44834</v>
      </c>
      <c r="D677" s="43"/>
      <c r="E677" s="45"/>
    </row>
    <row r="678" spans="1:5" x14ac:dyDescent="0.3">
      <c r="A678" s="54">
        <v>44830</v>
      </c>
      <c r="B678" s="45">
        <v>22818.87</v>
      </c>
      <c r="C678" s="19">
        <f t="shared" si="10"/>
        <v>44834</v>
      </c>
      <c r="D678" s="43"/>
      <c r="E678" s="45"/>
    </row>
    <row r="679" spans="1:5" x14ac:dyDescent="0.3">
      <c r="A679" s="54">
        <v>44831</v>
      </c>
      <c r="B679" s="45">
        <v>22821.33</v>
      </c>
      <c r="C679" s="19">
        <f t="shared" si="10"/>
        <v>44834</v>
      </c>
      <c r="D679" s="43"/>
      <c r="E679" s="45"/>
    </row>
    <row r="680" spans="1:5" x14ac:dyDescent="0.3">
      <c r="A680" s="54">
        <v>44832</v>
      </c>
      <c r="B680" s="45">
        <v>22656</v>
      </c>
      <c r="C680" s="19">
        <f t="shared" si="10"/>
        <v>44834</v>
      </c>
      <c r="D680" s="43"/>
      <c r="E680" s="45"/>
    </row>
    <row r="681" spans="1:5" x14ac:dyDescent="0.3">
      <c r="A681" s="54">
        <v>44833</v>
      </c>
      <c r="B681" s="45">
        <v>22627.96</v>
      </c>
      <c r="C681" s="19">
        <f t="shared" si="10"/>
        <v>44834</v>
      </c>
      <c r="D681" s="43"/>
      <c r="E681" s="45"/>
    </row>
    <row r="682" spans="1:5" x14ac:dyDescent="0.3">
      <c r="A682" s="54">
        <v>44834</v>
      </c>
      <c r="B682" s="45">
        <v>22979.45</v>
      </c>
      <c r="C682" s="19">
        <f t="shared" si="10"/>
        <v>44834</v>
      </c>
      <c r="D682" s="43"/>
      <c r="E682" s="45"/>
    </row>
    <row r="683" spans="1:5" x14ac:dyDescent="0.3">
      <c r="A683" s="54">
        <v>44837</v>
      </c>
      <c r="B683" s="45">
        <v>22683.759999999998</v>
      </c>
      <c r="C683" s="19">
        <f t="shared" si="10"/>
        <v>44865</v>
      </c>
      <c r="D683" s="43"/>
      <c r="E683" s="45"/>
    </row>
    <row r="684" spans="1:5" x14ac:dyDescent="0.3">
      <c r="A684" s="54">
        <v>44838</v>
      </c>
      <c r="B684" s="45">
        <v>23190.95</v>
      </c>
      <c r="C684" s="19">
        <f t="shared" si="10"/>
        <v>44865</v>
      </c>
      <c r="D684" s="43"/>
      <c r="E684" s="45"/>
    </row>
    <row r="685" spans="1:5" x14ac:dyDescent="0.3">
      <c r="A685" s="54">
        <v>44840</v>
      </c>
      <c r="B685" s="45">
        <v>23326.09</v>
      </c>
      <c r="C685" s="19">
        <f t="shared" si="10"/>
        <v>44865</v>
      </c>
      <c r="D685" s="43"/>
      <c r="E685" s="45"/>
    </row>
    <row r="686" spans="1:5" x14ac:dyDescent="0.3">
      <c r="A686" s="54">
        <v>44841</v>
      </c>
      <c r="B686" s="45">
        <v>23300.77</v>
      </c>
      <c r="C686" s="19">
        <f t="shared" si="10"/>
        <v>44865</v>
      </c>
      <c r="D686" s="43"/>
      <c r="E686" s="45"/>
    </row>
    <row r="687" spans="1:5" x14ac:dyDescent="0.3">
      <c r="A687" s="54">
        <v>44844</v>
      </c>
      <c r="B687" s="45">
        <v>23168.98</v>
      </c>
      <c r="C687" s="19">
        <f t="shared" si="10"/>
        <v>44865</v>
      </c>
      <c r="D687" s="43"/>
      <c r="E687" s="45"/>
    </row>
    <row r="688" spans="1:5" x14ac:dyDescent="0.3">
      <c r="A688" s="54">
        <v>44845</v>
      </c>
      <c r="B688" s="45">
        <v>22812.98</v>
      </c>
      <c r="C688" s="19">
        <f t="shared" si="10"/>
        <v>44865</v>
      </c>
      <c r="D688" s="43"/>
      <c r="E688" s="45"/>
    </row>
    <row r="689" spans="1:5" x14ac:dyDescent="0.3">
      <c r="A689" s="54">
        <v>44846</v>
      </c>
      <c r="B689" s="45">
        <v>22980.400000000001</v>
      </c>
      <c r="C689" s="19">
        <f t="shared" si="10"/>
        <v>44865</v>
      </c>
      <c r="D689" s="43"/>
      <c r="E689" s="45"/>
    </row>
    <row r="690" spans="1:5" x14ac:dyDescent="0.3">
      <c r="A690" s="54">
        <v>44847</v>
      </c>
      <c r="B690" s="45">
        <v>22825.98</v>
      </c>
      <c r="C690" s="19">
        <f t="shared" si="10"/>
        <v>44865</v>
      </c>
      <c r="D690" s="43"/>
      <c r="E690" s="45"/>
    </row>
    <row r="691" spans="1:5" x14ac:dyDescent="0.3">
      <c r="A691" s="54">
        <v>44848</v>
      </c>
      <c r="B691" s="45">
        <v>22957.38</v>
      </c>
      <c r="C691" s="19">
        <f t="shared" si="10"/>
        <v>44865</v>
      </c>
      <c r="D691" s="43"/>
      <c r="E691" s="45"/>
    </row>
    <row r="692" spans="1:5" x14ac:dyDescent="0.3">
      <c r="A692" s="54">
        <v>44851</v>
      </c>
      <c r="B692" s="45">
        <v>23100.15</v>
      </c>
      <c r="C692" s="19">
        <f t="shared" si="10"/>
        <v>44865</v>
      </c>
      <c r="D692" s="43"/>
      <c r="E692" s="45"/>
    </row>
    <row r="693" spans="1:5" x14ac:dyDescent="0.3">
      <c r="A693" s="54">
        <v>44852</v>
      </c>
      <c r="B693" s="45">
        <v>23333.17</v>
      </c>
      <c r="C693" s="19">
        <f t="shared" si="10"/>
        <v>44865</v>
      </c>
      <c r="D693" s="43"/>
      <c r="E693" s="45"/>
    </row>
    <row r="694" spans="1:5" x14ac:dyDescent="0.3">
      <c r="A694" s="54">
        <v>44853</v>
      </c>
      <c r="B694" s="45">
        <v>23354.01</v>
      </c>
      <c r="C694" s="19">
        <f t="shared" si="10"/>
        <v>44865</v>
      </c>
      <c r="D694" s="43"/>
      <c r="E694" s="45"/>
    </row>
    <row r="695" spans="1:5" x14ac:dyDescent="0.3">
      <c r="A695" s="54">
        <v>44854</v>
      </c>
      <c r="B695" s="45">
        <v>23421.439999999999</v>
      </c>
      <c r="C695" s="19">
        <f t="shared" si="10"/>
        <v>44865</v>
      </c>
      <c r="D695" s="43"/>
      <c r="E695" s="45"/>
    </row>
    <row r="696" spans="1:5" x14ac:dyDescent="0.3">
      <c r="A696" s="54">
        <v>44855</v>
      </c>
      <c r="B696" s="45">
        <v>23373.43</v>
      </c>
      <c r="C696" s="19">
        <f t="shared" si="10"/>
        <v>44865</v>
      </c>
      <c r="D696" s="43"/>
      <c r="E696" s="45"/>
    </row>
    <row r="697" spans="1:5" x14ac:dyDescent="0.3">
      <c r="A697" s="54">
        <v>44858</v>
      </c>
      <c r="B697" s="45">
        <v>23555.8</v>
      </c>
      <c r="C697" s="19">
        <f t="shared" si="10"/>
        <v>44865</v>
      </c>
      <c r="D697" s="43"/>
      <c r="E697" s="45"/>
    </row>
    <row r="698" spans="1:5" x14ac:dyDescent="0.3">
      <c r="A698" s="54">
        <v>44859</v>
      </c>
      <c r="B698" s="45">
        <v>23492.95</v>
      </c>
      <c r="C698" s="19">
        <f t="shared" si="10"/>
        <v>44865</v>
      </c>
      <c r="D698" s="43"/>
      <c r="E698" s="45"/>
    </row>
    <row r="699" spans="1:5" x14ac:dyDescent="0.3">
      <c r="A699" s="54">
        <v>44861</v>
      </c>
      <c r="B699" s="45">
        <v>23638.82</v>
      </c>
      <c r="C699" s="19">
        <f t="shared" si="10"/>
        <v>44865</v>
      </c>
      <c r="D699" s="43"/>
      <c r="E699" s="45"/>
    </row>
    <row r="700" spans="1:5" x14ac:dyDescent="0.3">
      <c r="A700" s="54">
        <v>44862</v>
      </c>
      <c r="B700" s="45">
        <v>23634.83</v>
      </c>
      <c r="C700" s="19">
        <f t="shared" si="10"/>
        <v>44865</v>
      </c>
      <c r="D700" s="43"/>
      <c r="E700" s="45"/>
    </row>
    <row r="701" spans="1:5" x14ac:dyDescent="0.3">
      <c r="A701" s="54">
        <v>44865</v>
      </c>
      <c r="B701" s="45">
        <v>23919.759999999998</v>
      </c>
      <c r="C701" s="19">
        <f t="shared" si="10"/>
        <v>44865</v>
      </c>
      <c r="D701" s="43"/>
      <c r="E701" s="45"/>
    </row>
    <row r="702" spans="1:5" x14ac:dyDescent="0.3">
      <c r="A702" s="54">
        <v>44866</v>
      </c>
      <c r="B702" s="45">
        <v>24098.84</v>
      </c>
      <c r="C702" s="19">
        <f t="shared" si="10"/>
        <v>44895</v>
      </c>
      <c r="D702" s="43"/>
      <c r="E702" s="45"/>
    </row>
    <row r="703" spans="1:5" x14ac:dyDescent="0.3">
      <c r="A703" s="54">
        <v>44867</v>
      </c>
      <c r="B703" s="45">
        <v>24037.05</v>
      </c>
      <c r="C703" s="19">
        <f t="shared" si="10"/>
        <v>44895</v>
      </c>
      <c r="D703" s="43"/>
      <c r="E703" s="45"/>
    </row>
    <row r="704" spans="1:5" x14ac:dyDescent="0.3">
      <c r="A704" s="54">
        <v>44868</v>
      </c>
      <c r="B704" s="45">
        <v>24017.67</v>
      </c>
      <c r="C704" s="19">
        <f t="shared" si="10"/>
        <v>44895</v>
      </c>
      <c r="D704" s="43"/>
      <c r="E704" s="45"/>
    </row>
    <row r="705" spans="1:5" x14ac:dyDescent="0.3">
      <c r="A705" s="54">
        <v>44869</v>
      </c>
      <c r="B705" s="45">
        <v>24089.43</v>
      </c>
      <c r="C705" s="19">
        <f t="shared" si="10"/>
        <v>44895</v>
      </c>
      <c r="D705" s="43"/>
      <c r="E705" s="45"/>
    </row>
    <row r="706" spans="1:5" x14ac:dyDescent="0.3">
      <c r="A706" s="54">
        <v>44872</v>
      </c>
      <c r="B706" s="45">
        <v>24220.28</v>
      </c>
      <c r="C706" s="19">
        <f t="shared" ref="C706:C769" si="11">EOMONTH(A706,0)</f>
        <v>44895</v>
      </c>
      <c r="D706" s="43"/>
      <c r="E706" s="45"/>
    </row>
    <row r="707" spans="1:5" x14ac:dyDescent="0.3">
      <c r="A707" s="54">
        <v>44874</v>
      </c>
      <c r="B707" s="45">
        <v>24148.28</v>
      </c>
      <c r="C707" s="19">
        <f t="shared" si="11"/>
        <v>44895</v>
      </c>
      <c r="D707" s="43"/>
      <c r="E707" s="45"/>
    </row>
    <row r="708" spans="1:5" x14ac:dyDescent="0.3">
      <c r="A708" s="54">
        <v>44875</v>
      </c>
      <c r="B708" s="45">
        <v>23950.94</v>
      </c>
      <c r="C708" s="19">
        <f t="shared" si="11"/>
        <v>44895</v>
      </c>
      <c r="D708" s="43"/>
      <c r="E708" s="45"/>
    </row>
    <row r="709" spans="1:5" x14ac:dyDescent="0.3">
      <c r="A709" s="54">
        <v>44876</v>
      </c>
      <c r="B709" s="45">
        <v>24275.37</v>
      </c>
      <c r="C709" s="19">
        <f t="shared" si="11"/>
        <v>44895</v>
      </c>
      <c r="D709" s="43"/>
      <c r="E709" s="45"/>
    </row>
    <row r="710" spans="1:5" x14ac:dyDescent="0.3">
      <c r="A710" s="54">
        <v>44879</v>
      </c>
      <c r="B710" s="45">
        <v>24277.119999999999</v>
      </c>
      <c r="C710" s="19">
        <f t="shared" si="11"/>
        <v>44895</v>
      </c>
      <c r="D710" s="43"/>
      <c r="E710" s="45"/>
    </row>
    <row r="711" spans="1:5" x14ac:dyDescent="0.3">
      <c r="A711" s="54">
        <v>44880</v>
      </c>
      <c r="B711" s="45">
        <v>24345.02</v>
      </c>
      <c r="C711" s="19">
        <f t="shared" si="11"/>
        <v>44895</v>
      </c>
      <c r="D711" s="43"/>
      <c r="E711" s="45"/>
    </row>
    <row r="712" spans="1:5" x14ac:dyDescent="0.3">
      <c r="A712" s="54">
        <v>44881</v>
      </c>
      <c r="B712" s="45">
        <v>24297.65</v>
      </c>
      <c r="C712" s="19">
        <f t="shared" si="11"/>
        <v>44895</v>
      </c>
      <c r="D712" s="43"/>
      <c r="E712" s="45"/>
    </row>
    <row r="713" spans="1:5" x14ac:dyDescent="0.3">
      <c r="A713" s="54">
        <v>44882</v>
      </c>
      <c r="B713" s="45">
        <v>24195.57</v>
      </c>
      <c r="C713" s="19">
        <f t="shared" si="11"/>
        <v>44895</v>
      </c>
      <c r="D713" s="43"/>
      <c r="E713" s="45"/>
    </row>
    <row r="714" spans="1:5" x14ac:dyDescent="0.3">
      <c r="A714" s="54">
        <v>44883</v>
      </c>
      <c r="B714" s="45">
        <v>24124.3</v>
      </c>
      <c r="C714" s="19">
        <f t="shared" si="11"/>
        <v>44895</v>
      </c>
      <c r="D714" s="43"/>
      <c r="E714" s="45"/>
    </row>
    <row r="715" spans="1:5" x14ac:dyDescent="0.3">
      <c r="A715" s="54">
        <v>44887</v>
      </c>
      <c r="B715" s="45">
        <v>24060.5</v>
      </c>
      <c r="C715" s="19">
        <f t="shared" si="11"/>
        <v>44895</v>
      </c>
      <c r="D715" s="43"/>
      <c r="E715" s="45"/>
    </row>
    <row r="716" spans="1:5" x14ac:dyDescent="0.3">
      <c r="A716" s="54">
        <v>44888</v>
      </c>
      <c r="B716" s="45">
        <v>24105.439999999999</v>
      </c>
      <c r="C716" s="19">
        <f t="shared" si="11"/>
        <v>44895</v>
      </c>
      <c r="D716" s="43"/>
      <c r="E716" s="45"/>
    </row>
    <row r="717" spans="1:5" x14ac:dyDescent="0.3">
      <c r="A717" s="54">
        <v>44889</v>
      </c>
      <c r="B717" s="45">
        <v>24326.89</v>
      </c>
      <c r="C717" s="19">
        <f t="shared" si="11"/>
        <v>44895</v>
      </c>
      <c r="D717" s="43"/>
      <c r="E717" s="45"/>
    </row>
    <row r="718" spans="1:5" x14ac:dyDescent="0.3">
      <c r="A718" s="54">
        <v>44890</v>
      </c>
      <c r="B718" s="45">
        <v>24398.91</v>
      </c>
      <c r="C718" s="19">
        <f t="shared" si="11"/>
        <v>44895</v>
      </c>
      <c r="D718" s="43"/>
      <c r="E718" s="45"/>
    </row>
    <row r="719" spans="1:5" x14ac:dyDescent="0.3">
      <c r="A719" s="54">
        <v>44893</v>
      </c>
      <c r="B719" s="45">
        <v>24487.63</v>
      </c>
      <c r="C719" s="19">
        <f t="shared" si="11"/>
        <v>44895</v>
      </c>
      <c r="D719" s="43"/>
      <c r="E719" s="45"/>
    </row>
    <row r="720" spans="1:5" x14ac:dyDescent="0.3">
      <c r="A720" s="54">
        <v>44894</v>
      </c>
      <c r="B720" s="45">
        <v>24531.13</v>
      </c>
      <c r="C720" s="19">
        <f t="shared" si="11"/>
        <v>44895</v>
      </c>
      <c r="D720" s="43"/>
      <c r="E720" s="45"/>
    </row>
    <row r="721" spans="1:5" x14ac:dyDescent="0.3">
      <c r="A721" s="54">
        <v>44895</v>
      </c>
      <c r="B721" s="45">
        <v>24738.49</v>
      </c>
      <c r="C721" s="19">
        <f t="shared" si="11"/>
        <v>44895</v>
      </c>
      <c r="D721" s="43"/>
      <c r="E721" s="45"/>
    </row>
    <row r="722" spans="1:5" x14ac:dyDescent="0.3">
      <c r="A722" s="54">
        <v>44896</v>
      </c>
      <c r="B722" s="45">
        <v>24828.21</v>
      </c>
      <c r="C722" s="19">
        <f t="shared" si="11"/>
        <v>44926</v>
      </c>
      <c r="D722" s="43"/>
      <c r="E722" s="45"/>
    </row>
    <row r="723" spans="1:5" x14ac:dyDescent="0.3">
      <c r="A723" s="54">
        <v>44897</v>
      </c>
      <c r="B723" s="45">
        <v>24765.439999999999</v>
      </c>
      <c r="C723" s="19">
        <f t="shared" si="11"/>
        <v>44926</v>
      </c>
      <c r="D723" s="43"/>
      <c r="E723" s="45"/>
    </row>
    <row r="724" spans="1:5" x14ac:dyDescent="0.3">
      <c r="A724" s="54">
        <v>44900</v>
      </c>
      <c r="B724" s="45">
        <v>24771.15</v>
      </c>
      <c r="C724" s="19">
        <f t="shared" si="11"/>
        <v>44926</v>
      </c>
      <c r="D724" s="43"/>
      <c r="E724" s="45"/>
    </row>
    <row r="725" spans="1:5" x14ac:dyDescent="0.3">
      <c r="A725" s="54">
        <v>44901</v>
      </c>
      <c r="B725" s="45">
        <v>24702.36</v>
      </c>
      <c r="C725" s="19">
        <f t="shared" si="11"/>
        <v>44926</v>
      </c>
      <c r="D725" s="43"/>
      <c r="E725" s="45"/>
    </row>
    <row r="726" spans="1:5" x14ac:dyDescent="0.3">
      <c r="A726" s="54">
        <v>44902</v>
      </c>
      <c r="B726" s="45">
        <v>24608</v>
      </c>
      <c r="C726" s="19">
        <f t="shared" si="11"/>
        <v>44926</v>
      </c>
      <c r="D726" s="43"/>
      <c r="E726" s="45"/>
    </row>
    <row r="727" spans="1:5" x14ac:dyDescent="0.3">
      <c r="A727" s="54">
        <v>44903</v>
      </c>
      <c r="B727" s="45">
        <v>24684.18</v>
      </c>
      <c r="C727" s="19">
        <f t="shared" si="11"/>
        <v>44926</v>
      </c>
      <c r="D727" s="43"/>
      <c r="E727" s="45"/>
    </row>
    <row r="728" spans="1:5" x14ac:dyDescent="0.3">
      <c r="A728" s="54">
        <v>44904</v>
      </c>
      <c r="B728" s="45">
        <v>24531.62</v>
      </c>
      <c r="C728" s="19">
        <f t="shared" si="11"/>
        <v>44926</v>
      </c>
      <c r="D728" s="43"/>
      <c r="E728" s="45"/>
    </row>
    <row r="729" spans="1:5" x14ac:dyDescent="0.3">
      <c r="A729" s="54">
        <v>44907</v>
      </c>
      <c r="B729" s="45">
        <v>24555.31</v>
      </c>
      <c r="C729" s="19">
        <f t="shared" si="11"/>
        <v>44926</v>
      </c>
      <c r="D729" s="43"/>
      <c r="E729" s="45"/>
    </row>
    <row r="730" spans="1:5" x14ac:dyDescent="0.3">
      <c r="A730" s="54">
        <v>44908</v>
      </c>
      <c r="B730" s="45">
        <v>24673.99</v>
      </c>
      <c r="C730" s="19">
        <f t="shared" si="11"/>
        <v>44926</v>
      </c>
      <c r="D730" s="43"/>
      <c r="E730" s="45"/>
    </row>
    <row r="731" spans="1:5" x14ac:dyDescent="0.3">
      <c r="A731" s="54">
        <v>44909</v>
      </c>
      <c r="B731" s="45">
        <v>24765.99</v>
      </c>
      <c r="C731" s="19">
        <f t="shared" si="11"/>
        <v>44926</v>
      </c>
      <c r="D731" s="43"/>
      <c r="E731" s="45"/>
    </row>
    <row r="732" spans="1:5" x14ac:dyDescent="0.3">
      <c r="A732" s="54">
        <v>44910</v>
      </c>
      <c r="B732" s="45">
        <v>24486.799999999999</v>
      </c>
      <c r="C732" s="19">
        <f t="shared" si="11"/>
        <v>44926</v>
      </c>
      <c r="D732" s="43"/>
      <c r="E732" s="45"/>
    </row>
    <row r="733" spans="1:5" x14ac:dyDescent="0.3">
      <c r="A733" s="54">
        <v>44911</v>
      </c>
      <c r="B733" s="45">
        <v>24258</v>
      </c>
      <c r="C733" s="19">
        <f t="shared" si="11"/>
        <v>44926</v>
      </c>
      <c r="D733" s="43"/>
      <c r="E733" s="45"/>
    </row>
    <row r="734" spans="1:5" x14ac:dyDescent="0.3">
      <c r="A734" s="54">
        <v>44914</v>
      </c>
      <c r="B734" s="45">
        <v>24442.38</v>
      </c>
      <c r="C734" s="19">
        <f t="shared" si="11"/>
        <v>44926</v>
      </c>
      <c r="D734" s="43"/>
      <c r="E734" s="45"/>
    </row>
    <row r="735" spans="1:5" x14ac:dyDescent="0.3">
      <c r="A735" s="54">
        <v>44915</v>
      </c>
      <c r="B735" s="45">
        <v>24397.439999999999</v>
      </c>
      <c r="C735" s="19">
        <f t="shared" si="11"/>
        <v>44926</v>
      </c>
      <c r="D735" s="43"/>
      <c r="E735" s="45"/>
    </row>
    <row r="736" spans="1:5" x14ac:dyDescent="0.3">
      <c r="A736" s="54">
        <v>44916</v>
      </c>
      <c r="B736" s="45">
        <v>24089.23</v>
      </c>
      <c r="C736" s="19">
        <f t="shared" si="11"/>
        <v>44926</v>
      </c>
      <c r="D736" s="43"/>
      <c r="E736" s="45"/>
    </row>
    <row r="737" spans="1:5" x14ac:dyDescent="0.3">
      <c r="A737" s="54">
        <v>44917</v>
      </c>
      <c r="B737" s="45">
        <v>23940.18</v>
      </c>
      <c r="C737" s="19">
        <f t="shared" si="11"/>
        <v>44926</v>
      </c>
      <c r="D737" s="43"/>
      <c r="E737" s="45"/>
    </row>
    <row r="738" spans="1:5" x14ac:dyDescent="0.3">
      <c r="A738" s="54">
        <v>44918</v>
      </c>
      <c r="B738" s="45">
        <v>23342.13</v>
      </c>
      <c r="C738" s="19">
        <f t="shared" si="11"/>
        <v>44926</v>
      </c>
      <c r="D738" s="43"/>
      <c r="E738" s="45"/>
    </row>
    <row r="739" spans="1:5" x14ac:dyDescent="0.3">
      <c r="A739" s="54">
        <v>44921</v>
      </c>
      <c r="B739" s="45">
        <v>23733.97</v>
      </c>
      <c r="C739" s="19">
        <f t="shared" si="11"/>
        <v>44926</v>
      </c>
      <c r="D739" s="43"/>
      <c r="E739" s="45"/>
    </row>
    <row r="740" spans="1:5" x14ac:dyDescent="0.3">
      <c r="A740" s="54">
        <v>44922</v>
      </c>
      <c r="B740" s="45">
        <v>23919.81</v>
      </c>
      <c r="C740" s="19">
        <f t="shared" si="11"/>
        <v>44926</v>
      </c>
      <c r="D740" s="43"/>
      <c r="E740" s="45"/>
    </row>
    <row r="741" spans="1:5" x14ac:dyDescent="0.3">
      <c r="A741" s="54">
        <v>44923</v>
      </c>
      <c r="B741" s="45">
        <v>23942.23</v>
      </c>
      <c r="C741" s="19">
        <f t="shared" si="11"/>
        <v>44926</v>
      </c>
      <c r="D741" s="43"/>
      <c r="E741" s="45"/>
    </row>
    <row r="742" spans="1:5" x14ac:dyDescent="0.3">
      <c r="A742" s="54">
        <v>44924</v>
      </c>
      <c r="B742" s="45">
        <v>24023.53</v>
      </c>
      <c r="C742" s="19">
        <f t="shared" si="11"/>
        <v>44926</v>
      </c>
      <c r="D742" s="43"/>
      <c r="E742" s="45"/>
    </row>
    <row r="743" spans="1:5" x14ac:dyDescent="0.3">
      <c r="A743" s="54">
        <v>44925</v>
      </c>
      <c r="B743" s="45">
        <v>23967.119999999999</v>
      </c>
      <c r="C743" s="19">
        <f t="shared" si="11"/>
        <v>44926</v>
      </c>
      <c r="D743" s="43"/>
      <c r="E743" s="45"/>
    </row>
    <row r="744" spans="1:5" x14ac:dyDescent="0.3">
      <c r="A744" s="54">
        <v>44928</v>
      </c>
      <c r="B744" s="45">
        <v>24083.14</v>
      </c>
      <c r="C744" s="19">
        <f t="shared" si="11"/>
        <v>44957</v>
      </c>
      <c r="D744" s="43"/>
      <c r="E744" s="45"/>
    </row>
    <row r="745" spans="1:5" x14ac:dyDescent="0.3">
      <c r="A745" s="54">
        <v>44929</v>
      </c>
      <c r="B745" s="45">
        <v>24136.79</v>
      </c>
      <c r="C745" s="19">
        <f t="shared" si="11"/>
        <v>44957</v>
      </c>
      <c r="D745" s="43"/>
      <c r="E745" s="45"/>
    </row>
    <row r="746" spans="1:5" x14ac:dyDescent="0.3">
      <c r="A746" s="54">
        <v>44930</v>
      </c>
      <c r="B746" s="45">
        <v>23881.119999999999</v>
      </c>
      <c r="C746" s="19">
        <f t="shared" si="11"/>
        <v>44957</v>
      </c>
      <c r="D746" s="43"/>
      <c r="E746" s="45"/>
    </row>
    <row r="747" spans="1:5" x14ac:dyDescent="0.3">
      <c r="A747" s="54">
        <v>44931</v>
      </c>
      <c r="B747" s="45">
        <v>23870.5</v>
      </c>
      <c r="C747" s="19">
        <f t="shared" si="11"/>
        <v>44957</v>
      </c>
      <c r="D747" s="43"/>
      <c r="E747" s="45"/>
    </row>
    <row r="748" spans="1:5" x14ac:dyDescent="0.3">
      <c r="A748" s="54">
        <v>44932</v>
      </c>
      <c r="B748" s="45">
        <v>23693.33</v>
      </c>
      <c r="C748" s="19">
        <f t="shared" si="11"/>
        <v>44957</v>
      </c>
      <c r="D748" s="43"/>
      <c r="E748" s="45"/>
    </row>
    <row r="749" spans="1:5" x14ac:dyDescent="0.3">
      <c r="A749" s="54">
        <v>44935</v>
      </c>
      <c r="B749" s="45">
        <v>23693.33</v>
      </c>
      <c r="C749" s="19">
        <f t="shared" si="11"/>
        <v>44957</v>
      </c>
      <c r="D749" s="43"/>
      <c r="E749" s="45"/>
    </row>
    <row r="750" spans="1:5" x14ac:dyDescent="0.3">
      <c r="A750" s="54">
        <v>44936</v>
      </c>
      <c r="B750" s="45">
        <v>23775.95</v>
      </c>
      <c r="C750" s="19">
        <f t="shared" si="11"/>
        <v>44957</v>
      </c>
      <c r="D750" s="43"/>
      <c r="E750" s="45"/>
    </row>
    <row r="751" spans="1:5" x14ac:dyDescent="0.3">
      <c r="A751" s="54">
        <v>44937</v>
      </c>
      <c r="B751" s="45">
        <v>23738.93</v>
      </c>
      <c r="C751" s="19">
        <f t="shared" si="11"/>
        <v>44957</v>
      </c>
      <c r="D751" s="43"/>
      <c r="E751" s="45"/>
    </row>
    <row r="752" spans="1:5" x14ac:dyDescent="0.3">
      <c r="A752" s="54">
        <v>44938</v>
      </c>
      <c r="B752" s="45">
        <v>23738.93</v>
      </c>
      <c r="C752" s="19">
        <f t="shared" si="11"/>
        <v>44957</v>
      </c>
      <c r="D752" s="43"/>
      <c r="E752" s="45"/>
    </row>
    <row r="753" spans="1:5" x14ac:dyDescent="0.3">
      <c r="A753" s="54">
        <v>44939</v>
      </c>
      <c r="B753" s="45">
        <v>23808.34</v>
      </c>
      <c r="C753" s="19">
        <f t="shared" si="11"/>
        <v>44957</v>
      </c>
      <c r="D753" s="43"/>
      <c r="E753" s="45"/>
    </row>
    <row r="754" spans="1:5" x14ac:dyDescent="0.3">
      <c r="A754" s="54">
        <v>44942</v>
      </c>
      <c r="B754" s="45">
        <v>23808.34</v>
      </c>
      <c r="C754" s="19">
        <f t="shared" si="11"/>
        <v>44957</v>
      </c>
      <c r="D754" s="43"/>
      <c r="E754" s="45"/>
    </row>
    <row r="755" spans="1:5" x14ac:dyDescent="0.3">
      <c r="A755" s="54">
        <v>44943</v>
      </c>
      <c r="B755" s="45">
        <v>23885.99</v>
      </c>
      <c r="C755" s="19">
        <f t="shared" si="11"/>
        <v>44957</v>
      </c>
      <c r="D755" s="43"/>
      <c r="E755" s="45"/>
    </row>
    <row r="756" spans="1:5" x14ac:dyDescent="0.3">
      <c r="A756" s="54">
        <v>44944</v>
      </c>
      <c r="B756" s="45">
        <v>23994.91</v>
      </c>
      <c r="C756" s="19">
        <f t="shared" si="11"/>
        <v>44957</v>
      </c>
      <c r="D756" s="43"/>
      <c r="E756" s="45"/>
    </row>
    <row r="757" spans="1:5" x14ac:dyDescent="0.3">
      <c r="A757" s="54">
        <v>44945</v>
      </c>
      <c r="B757" s="45">
        <v>23924.61</v>
      </c>
      <c r="C757" s="19">
        <f t="shared" si="11"/>
        <v>44957</v>
      </c>
      <c r="D757" s="43"/>
      <c r="E757" s="45"/>
    </row>
    <row r="758" spans="1:5" x14ac:dyDescent="0.3">
      <c r="A758" s="54">
        <v>44946</v>
      </c>
      <c r="B758" s="45">
        <v>23813.19</v>
      </c>
      <c r="C758" s="19">
        <f t="shared" si="11"/>
        <v>44957</v>
      </c>
      <c r="D758" s="43"/>
      <c r="E758" s="45"/>
    </row>
    <row r="759" spans="1:5" x14ac:dyDescent="0.3">
      <c r="A759" s="54">
        <v>44949</v>
      </c>
      <c r="B759" s="45">
        <v>23899.01</v>
      </c>
      <c r="C759" s="19">
        <f t="shared" si="11"/>
        <v>44957</v>
      </c>
      <c r="D759" s="43"/>
      <c r="E759" s="45"/>
    </row>
    <row r="760" spans="1:5" x14ac:dyDescent="0.3">
      <c r="A760" s="54">
        <v>44950</v>
      </c>
      <c r="B760" s="45">
        <v>23876.66</v>
      </c>
      <c r="C760" s="19">
        <f t="shared" si="11"/>
        <v>44957</v>
      </c>
      <c r="D760" s="43"/>
      <c r="E760" s="45"/>
    </row>
    <row r="761" spans="1:5" x14ac:dyDescent="0.3">
      <c r="A761" s="54">
        <v>44951</v>
      </c>
      <c r="B761" s="45">
        <v>23541.16</v>
      </c>
      <c r="C761" s="19">
        <f t="shared" si="11"/>
        <v>44957</v>
      </c>
      <c r="D761" s="43"/>
      <c r="E761" s="45"/>
    </row>
    <row r="762" spans="1:5" x14ac:dyDescent="0.3">
      <c r="A762" s="54">
        <v>44953</v>
      </c>
      <c r="B762" s="45">
        <v>23080.080000000002</v>
      </c>
      <c r="C762" s="19">
        <f t="shared" si="11"/>
        <v>44957</v>
      </c>
      <c r="D762" s="43"/>
      <c r="E762" s="45"/>
    </row>
    <row r="763" spans="1:5" x14ac:dyDescent="0.3">
      <c r="A763" s="54">
        <v>44956</v>
      </c>
      <c r="B763" s="45">
        <v>23048.29</v>
      </c>
      <c r="C763" s="19">
        <f t="shared" si="11"/>
        <v>44957</v>
      </c>
      <c r="D763" s="43"/>
      <c r="E763" s="45"/>
    </row>
    <row r="764" spans="1:5" x14ac:dyDescent="0.3">
      <c r="A764" s="54">
        <v>44957</v>
      </c>
      <c r="B764" s="45">
        <v>23175.05</v>
      </c>
      <c r="C764" s="19">
        <f t="shared" si="11"/>
        <v>44957</v>
      </c>
      <c r="D764" s="43"/>
      <c r="E764" s="45"/>
    </row>
    <row r="765" spans="1:5" x14ac:dyDescent="0.3">
      <c r="A765" s="54">
        <v>44958</v>
      </c>
      <c r="B765" s="45">
        <v>23038.799999999999</v>
      </c>
      <c r="C765" s="19">
        <f t="shared" si="11"/>
        <v>44985</v>
      </c>
      <c r="D765" s="43"/>
      <c r="E765" s="45"/>
    </row>
    <row r="766" spans="1:5" x14ac:dyDescent="0.3">
      <c r="A766" s="54">
        <v>44959</v>
      </c>
      <c r="B766" s="45">
        <v>23026.240000000002</v>
      </c>
      <c r="C766" s="19">
        <f t="shared" si="11"/>
        <v>44985</v>
      </c>
      <c r="D766" s="43"/>
      <c r="E766" s="45"/>
    </row>
    <row r="767" spans="1:5" x14ac:dyDescent="0.3">
      <c r="A767" s="54">
        <v>44960</v>
      </c>
      <c r="B767" s="45">
        <v>23217.58</v>
      </c>
      <c r="C767" s="19">
        <f t="shared" si="11"/>
        <v>44985</v>
      </c>
      <c r="D767" s="43"/>
      <c r="E767" s="45"/>
    </row>
    <row r="768" spans="1:5" x14ac:dyDescent="0.3">
      <c r="A768" s="54">
        <v>44963</v>
      </c>
      <c r="B768" s="45">
        <v>23174.09</v>
      </c>
      <c r="C768" s="19">
        <f t="shared" si="11"/>
        <v>44985</v>
      </c>
      <c r="D768" s="43"/>
      <c r="E768" s="45"/>
    </row>
    <row r="769" spans="1:5" x14ac:dyDescent="0.3">
      <c r="A769" s="54">
        <v>44964</v>
      </c>
      <c r="B769" s="45">
        <v>23125.02</v>
      </c>
      <c r="C769" s="19">
        <f t="shared" si="11"/>
        <v>44985</v>
      </c>
      <c r="D769" s="43"/>
      <c r="E769" s="45"/>
    </row>
    <row r="770" spans="1:5" x14ac:dyDescent="0.3">
      <c r="A770" s="54">
        <v>44965</v>
      </c>
      <c r="B770" s="45">
        <v>23322.639999999999</v>
      </c>
      <c r="C770" s="19">
        <f t="shared" ref="C770:C833" si="12">EOMONTH(A770,0)</f>
        <v>44985</v>
      </c>
      <c r="D770" s="43"/>
      <c r="E770" s="45"/>
    </row>
    <row r="771" spans="1:5" x14ac:dyDescent="0.3">
      <c r="A771" s="54">
        <v>44966</v>
      </c>
      <c r="B771" s="45">
        <v>23325.42</v>
      </c>
      <c r="C771" s="19">
        <f t="shared" si="12"/>
        <v>44985</v>
      </c>
      <c r="D771" s="43"/>
      <c r="E771" s="45"/>
    </row>
    <row r="772" spans="1:5" x14ac:dyDescent="0.3">
      <c r="A772" s="54">
        <v>44967</v>
      </c>
      <c r="B772" s="45">
        <v>23304.12</v>
      </c>
      <c r="C772" s="19">
        <f t="shared" si="12"/>
        <v>44985</v>
      </c>
      <c r="D772" s="43"/>
      <c r="E772" s="45"/>
    </row>
    <row r="773" spans="1:5" x14ac:dyDescent="0.3">
      <c r="A773" s="54">
        <v>44970</v>
      </c>
      <c r="B773" s="45">
        <v>23125.41</v>
      </c>
      <c r="C773" s="19">
        <f t="shared" si="12"/>
        <v>44985</v>
      </c>
      <c r="D773" s="43"/>
      <c r="E773" s="45"/>
    </row>
    <row r="774" spans="1:5" x14ac:dyDescent="0.3">
      <c r="A774" s="54">
        <v>44971</v>
      </c>
      <c r="B774" s="45">
        <v>23231.75</v>
      </c>
      <c r="C774" s="19">
        <f t="shared" si="12"/>
        <v>44985</v>
      </c>
      <c r="D774" s="43"/>
      <c r="E774" s="45"/>
    </row>
    <row r="775" spans="1:5" x14ac:dyDescent="0.3">
      <c r="A775" s="54">
        <v>44972</v>
      </c>
      <c r="B775" s="45">
        <v>23352.25</v>
      </c>
      <c r="C775" s="19">
        <f t="shared" si="12"/>
        <v>44985</v>
      </c>
      <c r="D775" s="43"/>
      <c r="E775" s="45"/>
    </row>
    <row r="776" spans="1:5" x14ac:dyDescent="0.3">
      <c r="A776" s="54">
        <v>44973</v>
      </c>
      <c r="B776" s="45">
        <v>23420.94</v>
      </c>
      <c r="C776" s="19">
        <f t="shared" si="12"/>
        <v>44985</v>
      </c>
      <c r="D776" s="43"/>
      <c r="E776" s="45"/>
    </row>
    <row r="777" spans="1:5" x14ac:dyDescent="0.3">
      <c r="A777" s="54">
        <v>44974</v>
      </c>
      <c r="B777" s="45">
        <v>23298.25</v>
      </c>
      <c r="C777" s="19">
        <f t="shared" si="12"/>
        <v>44985</v>
      </c>
      <c r="D777" s="43"/>
      <c r="E777" s="45"/>
    </row>
    <row r="778" spans="1:5" x14ac:dyDescent="0.3">
      <c r="A778" s="54">
        <v>44977</v>
      </c>
      <c r="B778" s="45">
        <v>23197</v>
      </c>
      <c r="C778" s="19">
        <f t="shared" si="12"/>
        <v>44985</v>
      </c>
      <c r="D778" s="43"/>
      <c r="E778" s="45"/>
    </row>
    <row r="779" spans="1:5" x14ac:dyDescent="0.3">
      <c r="A779" s="54">
        <v>44978</v>
      </c>
      <c r="B779" s="45">
        <v>23158.959999999999</v>
      </c>
      <c r="C779" s="19">
        <f t="shared" si="12"/>
        <v>44985</v>
      </c>
      <c r="D779" s="43"/>
      <c r="E779" s="45"/>
    </row>
    <row r="780" spans="1:5" x14ac:dyDescent="0.3">
      <c r="A780" s="54">
        <v>44979</v>
      </c>
      <c r="B780" s="45">
        <v>22830.35</v>
      </c>
      <c r="C780" s="19">
        <f t="shared" si="12"/>
        <v>44985</v>
      </c>
      <c r="D780" s="43"/>
      <c r="E780" s="45"/>
    </row>
    <row r="781" spans="1:5" x14ac:dyDescent="0.3">
      <c r="A781" s="54">
        <v>44980</v>
      </c>
      <c r="B781" s="45">
        <v>22775.81</v>
      </c>
      <c r="C781" s="19">
        <f t="shared" si="12"/>
        <v>44985</v>
      </c>
      <c r="D781" s="43"/>
      <c r="E781" s="45"/>
    </row>
    <row r="782" spans="1:5" x14ac:dyDescent="0.3">
      <c r="A782" s="54">
        <v>44981</v>
      </c>
      <c r="B782" s="45">
        <v>22719.84</v>
      </c>
      <c r="C782" s="19">
        <f t="shared" si="12"/>
        <v>44985</v>
      </c>
      <c r="D782" s="43"/>
      <c r="E782" s="45"/>
    </row>
    <row r="783" spans="1:5" x14ac:dyDescent="0.3">
      <c r="A783" s="54">
        <v>44984</v>
      </c>
      <c r="B783" s="45">
        <v>22592.89</v>
      </c>
      <c r="C783" s="19">
        <f t="shared" si="12"/>
        <v>44985</v>
      </c>
      <c r="D783" s="43"/>
      <c r="E783" s="45"/>
    </row>
    <row r="784" spans="1:5" x14ac:dyDescent="0.3">
      <c r="A784" s="54">
        <v>44985</v>
      </c>
      <c r="B784" s="45">
        <v>22546.35</v>
      </c>
      <c r="C784" s="19">
        <f t="shared" si="12"/>
        <v>44985</v>
      </c>
      <c r="D784" s="43"/>
      <c r="E784" s="45"/>
    </row>
    <row r="785" spans="1:5" x14ac:dyDescent="0.3">
      <c r="A785" s="54">
        <v>44986</v>
      </c>
      <c r="B785" s="45">
        <v>22773.279999999999</v>
      </c>
      <c r="C785" s="19">
        <f t="shared" si="12"/>
        <v>45016</v>
      </c>
      <c r="D785" s="43"/>
      <c r="E785" s="45"/>
    </row>
    <row r="786" spans="1:5" x14ac:dyDescent="0.3">
      <c r="A786" s="54">
        <v>44987</v>
      </c>
      <c r="B786" s="45">
        <v>22652.74</v>
      </c>
      <c r="C786" s="19">
        <f t="shared" si="12"/>
        <v>45016</v>
      </c>
      <c r="D786" s="43"/>
      <c r="E786" s="45"/>
    </row>
    <row r="787" spans="1:5" x14ac:dyDescent="0.3">
      <c r="A787" s="54">
        <v>44988</v>
      </c>
      <c r="B787" s="45">
        <v>22943.96</v>
      </c>
      <c r="C787" s="19">
        <f t="shared" si="12"/>
        <v>45016</v>
      </c>
      <c r="D787" s="43"/>
      <c r="E787" s="45"/>
    </row>
    <row r="788" spans="1:5" x14ac:dyDescent="0.3">
      <c r="A788" s="54">
        <v>44991</v>
      </c>
      <c r="B788" s="45">
        <v>23108.97</v>
      </c>
      <c r="C788" s="19">
        <f t="shared" si="12"/>
        <v>45016</v>
      </c>
      <c r="D788" s="43"/>
      <c r="E788" s="45"/>
    </row>
    <row r="789" spans="1:5" x14ac:dyDescent="0.3">
      <c r="A789" s="54">
        <v>44993</v>
      </c>
      <c r="B789" s="45">
        <v>23172.99</v>
      </c>
      <c r="C789" s="19">
        <f t="shared" si="12"/>
        <v>45016</v>
      </c>
      <c r="D789" s="43"/>
      <c r="E789" s="45"/>
    </row>
    <row r="790" spans="1:5" x14ac:dyDescent="0.3">
      <c r="A790" s="54">
        <v>44994</v>
      </c>
      <c r="B790" s="45">
        <v>22989.73</v>
      </c>
      <c r="C790" s="19">
        <f t="shared" si="12"/>
        <v>45016</v>
      </c>
      <c r="D790" s="43"/>
      <c r="E790" s="45"/>
    </row>
    <row r="791" spans="1:5" x14ac:dyDescent="0.3">
      <c r="A791" s="54">
        <v>44995</v>
      </c>
      <c r="B791" s="45">
        <v>22797.01</v>
      </c>
      <c r="C791" s="19">
        <f t="shared" si="12"/>
        <v>45016</v>
      </c>
      <c r="D791" s="43"/>
      <c r="E791" s="45"/>
    </row>
    <row r="792" spans="1:5" x14ac:dyDescent="0.3">
      <c r="A792" s="54">
        <v>44998</v>
      </c>
      <c r="B792" s="45">
        <v>22446.97</v>
      </c>
      <c r="C792" s="19">
        <f t="shared" si="12"/>
        <v>45016</v>
      </c>
      <c r="D792" s="43"/>
      <c r="E792" s="45"/>
    </row>
    <row r="793" spans="1:5" x14ac:dyDescent="0.3">
      <c r="A793" s="54">
        <v>44999</v>
      </c>
      <c r="B793" s="45">
        <v>22298.04</v>
      </c>
      <c r="C793" s="19">
        <f t="shared" si="12"/>
        <v>45016</v>
      </c>
      <c r="D793" s="43"/>
      <c r="E793" s="45"/>
    </row>
    <row r="794" spans="1:5" x14ac:dyDescent="0.3">
      <c r="A794" s="54">
        <v>45000</v>
      </c>
      <c r="B794" s="45">
        <v>22238.83</v>
      </c>
      <c r="C794" s="19">
        <f t="shared" si="12"/>
        <v>45016</v>
      </c>
      <c r="D794" s="43"/>
      <c r="E794" s="45"/>
    </row>
    <row r="795" spans="1:5" x14ac:dyDescent="0.3">
      <c r="A795" s="54">
        <v>45001</v>
      </c>
      <c r="B795" s="45">
        <v>22254.68</v>
      </c>
      <c r="C795" s="19">
        <f t="shared" si="12"/>
        <v>45016</v>
      </c>
      <c r="D795" s="43"/>
      <c r="E795" s="45"/>
    </row>
    <row r="796" spans="1:5" x14ac:dyDescent="0.3">
      <c r="A796" s="54">
        <v>45002</v>
      </c>
      <c r="B796" s="45">
        <v>22395.26</v>
      </c>
      <c r="C796" s="19">
        <f t="shared" si="12"/>
        <v>45016</v>
      </c>
      <c r="D796" s="43"/>
      <c r="E796" s="45"/>
    </row>
    <row r="797" spans="1:5" x14ac:dyDescent="0.3">
      <c r="A797" s="54">
        <v>45005</v>
      </c>
      <c r="B797" s="45">
        <v>22234.47</v>
      </c>
      <c r="C797" s="19">
        <f t="shared" si="12"/>
        <v>45016</v>
      </c>
      <c r="D797" s="43"/>
      <c r="E797" s="45"/>
    </row>
    <row r="798" spans="1:5" x14ac:dyDescent="0.3">
      <c r="A798" s="54">
        <v>45006</v>
      </c>
      <c r="B798" s="45">
        <v>22380.86</v>
      </c>
      <c r="C798" s="19">
        <f t="shared" si="12"/>
        <v>45016</v>
      </c>
      <c r="D798" s="43"/>
      <c r="E798" s="45"/>
    </row>
    <row r="799" spans="1:5" x14ac:dyDescent="0.3">
      <c r="A799" s="54">
        <v>45007</v>
      </c>
      <c r="B799" s="45">
        <v>22456.46</v>
      </c>
      <c r="C799" s="19">
        <f t="shared" si="12"/>
        <v>45016</v>
      </c>
      <c r="D799" s="43"/>
      <c r="E799" s="45"/>
    </row>
    <row r="800" spans="1:5" x14ac:dyDescent="0.3">
      <c r="A800" s="54">
        <v>45008</v>
      </c>
      <c r="B800" s="45">
        <v>22368.83</v>
      </c>
      <c r="C800" s="19">
        <f t="shared" si="12"/>
        <v>45016</v>
      </c>
      <c r="D800" s="43"/>
      <c r="E800" s="45"/>
    </row>
    <row r="801" spans="1:5" x14ac:dyDescent="0.3">
      <c r="A801" s="54">
        <v>45009</v>
      </c>
      <c r="B801" s="45">
        <v>22176.11</v>
      </c>
      <c r="C801" s="19">
        <f t="shared" si="12"/>
        <v>45016</v>
      </c>
      <c r="D801" s="43"/>
      <c r="E801" s="45"/>
    </row>
    <row r="802" spans="1:5" x14ac:dyDescent="0.3">
      <c r="A802" s="54">
        <v>45012</v>
      </c>
      <c r="B802" s="45">
        <v>22150.83</v>
      </c>
      <c r="C802" s="19">
        <f t="shared" si="12"/>
        <v>45016</v>
      </c>
      <c r="D802" s="43"/>
      <c r="E802" s="45"/>
    </row>
    <row r="803" spans="1:5" x14ac:dyDescent="0.3">
      <c r="A803" s="54">
        <v>45013</v>
      </c>
      <c r="B803" s="45">
        <v>22071.73</v>
      </c>
      <c r="C803" s="19">
        <f t="shared" si="12"/>
        <v>45016</v>
      </c>
      <c r="D803" s="43"/>
      <c r="E803" s="45"/>
    </row>
    <row r="804" spans="1:5" x14ac:dyDescent="0.3">
      <c r="A804" s="54">
        <v>45014</v>
      </c>
      <c r="B804" s="45">
        <v>22279.71</v>
      </c>
      <c r="C804" s="19">
        <f t="shared" si="12"/>
        <v>45016</v>
      </c>
      <c r="D804" s="43"/>
      <c r="E804" s="45"/>
    </row>
    <row r="805" spans="1:5" x14ac:dyDescent="0.3">
      <c r="A805" s="54">
        <v>45016</v>
      </c>
      <c r="B805" s="45">
        <v>22609.54</v>
      </c>
      <c r="C805" s="19">
        <f t="shared" si="12"/>
        <v>45016</v>
      </c>
      <c r="D805" s="43"/>
      <c r="E805" s="45"/>
    </row>
    <row r="806" spans="1:5" x14ac:dyDescent="0.3">
      <c r="A806" s="54">
        <v>45019</v>
      </c>
      <c r="B806" s="45">
        <v>22678.03</v>
      </c>
      <c r="C806" s="19">
        <f t="shared" si="12"/>
        <v>45046</v>
      </c>
      <c r="D806" s="43"/>
      <c r="E806" s="45"/>
    </row>
    <row r="807" spans="1:5" x14ac:dyDescent="0.3">
      <c r="A807" s="54">
        <v>45021</v>
      </c>
      <c r="B807" s="45">
        <v>22844.93</v>
      </c>
      <c r="C807" s="19">
        <f t="shared" si="12"/>
        <v>45046</v>
      </c>
      <c r="D807" s="43"/>
      <c r="E807" s="45"/>
    </row>
    <row r="808" spans="1:5" x14ac:dyDescent="0.3">
      <c r="A808" s="54">
        <v>45022</v>
      </c>
      <c r="B808" s="45">
        <v>22922.21</v>
      </c>
      <c r="C808" s="19">
        <f t="shared" si="12"/>
        <v>45046</v>
      </c>
      <c r="D808" s="43"/>
      <c r="E808" s="45"/>
    </row>
    <row r="809" spans="1:5" x14ac:dyDescent="0.3">
      <c r="A809" s="54">
        <v>45026</v>
      </c>
      <c r="B809" s="45">
        <v>22970.959999999999</v>
      </c>
      <c r="C809" s="19">
        <f t="shared" si="12"/>
        <v>45046</v>
      </c>
      <c r="D809" s="43"/>
      <c r="E809" s="45"/>
    </row>
    <row r="810" spans="1:5" x14ac:dyDescent="0.3">
      <c r="A810" s="54">
        <v>45027</v>
      </c>
      <c r="B810" s="45">
        <v>23090.27</v>
      </c>
      <c r="C810" s="19">
        <f t="shared" si="12"/>
        <v>45046</v>
      </c>
      <c r="D810" s="43"/>
      <c r="E810" s="45"/>
    </row>
    <row r="811" spans="1:5" x14ac:dyDescent="0.3">
      <c r="A811" s="54">
        <v>45028</v>
      </c>
      <c r="B811" s="45">
        <v>23205.72</v>
      </c>
      <c r="C811" s="19">
        <f t="shared" si="12"/>
        <v>45046</v>
      </c>
      <c r="D811" s="43"/>
      <c r="E811" s="45"/>
    </row>
    <row r="812" spans="1:5" x14ac:dyDescent="0.3">
      <c r="A812" s="54">
        <v>45029</v>
      </c>
      <c r="B812" s="45">
        <v>23227.119999999999</v>
      </c>
      <c r="C812" s="19">
        <f t="shared" si="12"/>
        <v>45046</v>
      </c>
      <c r="D812" s="43"/>
      <c r="E812" s="45"/>
    </row>
    <row r="813" spans="1:5" x14ac:dyDescent="0.3">
      <c r="A813" s="54">
        <v>45033</v>
      </c>
      <c r="B813" s="45">
        <v>23149.56</v>
      </c>
      <c r="C813" s="19">
        <f t="shared" si="12"/>
        <v>45046</v>
      </c>
      <c r="D813" s="43"/>
      <c r="E813" s="45"/>
    </row>
    <row r="814" spans="1:5" x14ac:dyDescent="0.3">
      <c r="A814" s="54">
        <v>45034</v>
      </c>
      <c r="B814" s="45">
        <v>23138.2</v>
      </c>
      <c r="C814" s="19">
        <f t="shared" si="12"/>
        <v>45046</v>
      </c>
      <c r="D814" s="43"/>
      <c r="E814" s="45"/>
    </row>
    <row r="815" spans="1:5" x14ac:dyDescent="0.3">
      <c r="A815" s="54">
        <v>45035</v>
      </c>
      <c r="B815" s="45">
        <v>23075.89</v>
      </c>
      <c r="C815" s="19">
        <f t="shared" si="12"/>
        <v>45046</v>
      </c>
      <c r="D815" s="43"/>
      <c r="E815" s="45"/>
    </row>
    <row r="816" spans="1:5" x14ac:dyDescent="0.3">
      <c r="A816" s="54">
        <v>45036</v>
      </c>
      <c r="B816" s="45">
        <v>23083.439999999999</v>
      </c>
      <c r="C816" s="19">
        <f t="shared" si="12"/>
        <v>45046</v>
      </c>
      <c r="D816" s="43"/>
      <c r="E816" s="45"/>
    </row>
    <row r="817" spans="1:5" x14ac:dyDescent="0.3">
      <c r="A817" s="54">
        <v>45037</v>
      </c>
      <c r="B817" s="45">
        <v>23061.48</v>
      </c>
      <c r="C817" s="19">
        <f t="shared" si="12"/>
        <v>45046</v>
      </c>
      <c r="D817" s="43"/>
      <c r="E817" s="45"/>
    </row>
    <row r="818" spans="1:5" x14ac:dyDescent="0.3">
      <c r="A818" s="54">
        <v>45040</v>
      </c>
      <c r="B818" s="45">
        <v>23190.5</v>
      </c>
      <c r="C818" s="19">
        <f t="shared" si="12"/>
        <v>45046</v>
      </c>
      <c r="D818" s="43"/>
      <c r="E818" s="45"/>
    </row>
    <row r="819" spans="1:5" x14ac:dyDescent="0.3">
      <c r="A819" s="54">
        <v>45041</v>
      </c>
      <c r="B819" s="45">
        <v>23230.2</v>
      </c>
      <c r="C819" s="19">
        <f t="shared" si="12"/>
        <v>45046</v>
      </c>
      <c r="D819" s="43"/>
      <c r="E819" s="45"/>
    </row>
    <row r="820" spans="1:5" x14ac:dyDescent="0.3">
      <c r="A820" s="54">
        <v>45042</v>
      </c>
      <c r="B820" s="45">
        <v>23290.3</v>
      </c>
      <c r="C820" s="19">
        <f t="shared" si="12"/>
        <v>45046</v>
      </c>
      <c r="D820" s="43"/>
      <c r="E820" s="45"/>
    </row>
    <row r="821" spans="1:5" x14ac:dyDescent="0.3">
      <c r="A821" s="54">
        <v>45043</v>
      </c>
      <c r="B821" s="45">
        <v>23415.66</v>
      </c>
      <c r="C821" s="19">
        <f t="shared" si="12"/>
        <v>45046</v>
      </c>
      <c r="D821" s="43"/>
      <c r="E821" s="45"/>
    </row>
    <row r="822" spans="1:5" x14ac:dyDescent="0.3">
      <c r="A822" s="54">
        <v>45044</v>
      </c>
      <c r="B822" s="45">
        <v>23643.94</v>
      </c>
      <c r="C822" s="19">
        <f t="shared" si="12"/>
        <v>45046</v>
      </c>
      <c r="D822" s="43"/>
      <c r="E822" s="45"/>
    </row>
    <row r="823" spans="1:5" x14ac:dyDescent="0.3">
      <c r="A823" s="54">
        <v>45048</v>
      </c>
      <c r="B823" s="45">
        <v>23770.12</v>
      </c>
      <c r="C823" s="19">
        <f t="shared" si="12"/>
        <v>45077</v>
      </c>
      <c r="D823" s="43"/>
      <c r="E823" s="45"/>
    </row>
    <row r="824" spans="1:5" x14ac:dyDescent="0.3">
      <c r="A824" s="54">
        <v>45049</v>
      </c>
      <c r="B824" s="45">
        <v>23732.29</v>
      </c>
      <c r="C824" s="19">
        <f t="shared" si="12"/>
        <v>45077</v>
      </c>
      <c r="D824" s="43"/>
      <c r="E824" s="45"/>
    </row>
    <row r="825" spans="1:5" x14ac:dyDescent="0.3">
      <c r="A825" s="54">
        <v>45050</v>
      </c>
      <c r="B825" s="45">
        <v>23932.9</v>
      </c>
      <c r="C825" s="19">
        <f t="shared" si="12"/>
        <v>45077</v>
      </c>
      <c r="D825" s="43"/>
      <c r="E825" s="45"/>
    </row>
    <row r="826" spans="1:5" x14ac:dyDescent="0.3">
      <c r="A826" s="54">
        <v>45051</v>
      </c>
      <c r="B826" s="45">
        <v>23735.759999999998</v>
      </c>
      <c r="C826" s="19">
        <f t="shared" si="12"/>
        <v>45077</v>
      </c>
      <c r="D826" s="43"/>
      <c r="E826" s="45"/>
    </row>
    <row r="827" spans="1:5" x14ac:dyDescent="0.3">
      <c r="A827" s="54">
        <v>45054</v>
      </c>
      <c r="B827" s="45">
        <v>23966.42</v>
      </c>
      <c r="C827" s="19">
        <f t="shared" si="12"/>
        <v>45077</v>
      </c>
      <c r="D827" s="43"/>
      <c r="E827" s="45"/>
    </row>
    <row r="828" spans="1:5" x14ac:dyDescent="0.3">
      <c r="A828" s="54">
        <v>45055</v>
      </c>
      <c r="B828" s="45">
        <v>23956.36</v>
      </c>
      <c r="C828" s="19">
        <f t="shared" si="12"/>
        <v>45077</v>
      </c>
      <c r="D828" s="43"/>
      <c r="E828" s="45"/>
    </row>
    <row r="829" spans="1:5" x14ac:dyDescent="0.3">
      <c r="A829" s="54">
        <v>45056</v>
      </c>
      <c r="B829" s="45">
        <v>24027.200000000001</v>
      </c>
      <c r="C829" s="19">
        <f t="shared" si="12"/>
        <v>45077</v>
      </c>
      <c r="D829" s="43"/>
      <c r="E829" s="45"/>
    </row>
    <row r="830" spans="1:5" x14ac:dyDescent="0.3">
      <c r="A830" s="54">
        <v>45057</v>
      </c>
      <c r="B830" s="45">
        <v>24055.22</v>
      </c>
      <c r="C830" s="19">
        <f t="shared" si="12"/>
        <v>45077</v>
      </c>
      <c r="D830" s="43"/>
      <c r="E830" s="45"/>
    </row>
    <row r="831" spans="1:5" x14ac:dyDescent="0.3">
      <c r="A831" s="54">
        <v>45058</v>
      </c>
      <c r="B831" s="45">
        <v>24044.99</v>
      </c>
      <c r="C831" s="19">
        <f t="shared" si="12"/>
        <v>45077</v>
      </c>
      <c r="D831" s="43"/>
      <c r="E831" s="45"/>
    </row>
    <row r="832" spans="1:5" x14ac:dyDescent="0.3">
      <c r="A832" s="54">
        <v>45061</v>
      </c>
      <c r="B832" s="45">
        <v>24157.41</v>
      </c>
      <c r="C832" s="19">
        <f t="shared" si="12"/>
        <v>45077</v>
      </c>
      <c r="D832" s="43"/>
      <c r="E832" s="45"/>
    </row>
    <row r="833" spans="1:5" x14ac:dyDescent="0.3">
      <c r="A833" s="54">
        <v>45062</v>
      </c>
      <c r="B833" s="45">
        <v>24100.95</v>
      </c>
      <c r="C833" s="19">
        <f t="shared" si="12"/>
        <v>45077</v>
      </c>
      <c r="D833" s="43"/>
      <c r="E833" s="45"/>
    </row>
    <row r="834" spans="1:5" x14ac:dyDescent="0.3">
      <c r="A834" s="54">
        <v>45063</v>
      </c>
      <c r="B834" s="45">
        <v>23998.15</v>
      </c>
      <c r="C834" s="19">
        <f t="shared" ref="C834:C897" si="13">EOMONTH(A834,0)</f>
        <v>45077</v>
      </c>
      <c r="D834" s="43"/>
      <c r="E834" s="45"/>
    </row>
    <row r="835" spans="1:5" x14ac:dyDescent="0.3">
      <c r="A835" s="54">
        <v>45064</v>
      </c>
      <c r="B835" s="45">
        <v>23897.439999999999</v>
      </c>
      <c r="C835" s="19">
        <f t="shared" si="13"/>
        <v>45077</v>
      </c>
      <c r="D835" s="43"/>
      <c r="E835" s="45"/>
    </row>
    <row r="836" spans="1:5" x14ac:dyDescent="0.3">
      <c r="A836" s="54">
        <v>45065</v>
      </c>
      <c r="B836" s="45">
        <v>23970.65</v>
      </c>
      <c r="C836" s="19">
        <f t="shared" si="13"/>
        <v>45077</v>
      </c>
      <c r="D836" s="43"/>
      <c r="E836" s="45"/>
    </row>
    <row r="837" spans="1:5" x14ac:dyDescent="0.3">
      <c r="A837" s="54">
        <v>45068</v>
      </c>
      <c r="B837" s="45">
        <v>24120.68</v>
      </c>
      <c r="C837" s="19">
        <f t="shared" si="13"/>
        <v>45077</v>
      </c>
      <c r="D837" s="43"/>
      <c r="E837" s="45"/>
    </row>
    <row r="838" spans="1:5" x14ac:dyDescent="0.3">
      <c r="A838" s="54">
        <v>45069</v>
      </c>
      <c r="B838" s="45">
        <v>24184.07</v>
      </c>
      <c r="C838" s="19">
        <f t="shared" si="13"/>
        <v>45077</v>
      </c>
      <c r="D838" s="43"/>
      <c r="E838" s="45"/>
    </row>
    <row r="839" spans="1:5" x14ac:dyDescent="0.3">
      <c r="A839" s="54">
        <v>45070</v>
      </c>
      <c r="B839" s="45">
        <v>24139.55</v>
      </c>
      <c r="C839" s="19">
        <f t="shared" si="13"/>
        <v>45077</v>
      </c>
      <c r="D839" s="43"/>
      <c r="E839" s="45"/>
    </row>
    <row r="840" spans="1:5" x14ac:dyDescent="0.3">
      <c r="A840" s="54">
        <v>45071</v>
      </c>
      <c r="B840" s="45">
        <v>24200.87</v>
      </c>
      <c r="C840" s="19">
        <f t="shared" si="13"/>
        <v>45077</v>
      </c>
      <c r="D840" s="43"/>
      <c r="E840" s="45"/>
    </row>
    <row r="841" spans="1:5" x14ac:dyDescent="0.3">
      <c r="A841" s="54">
        <v>45072</v>
      </c>
      <c r="B841" s="45">
        <v>24420.97</v>
      </c>
      <c r="C841" s="19">
        <f t="shared" si="13"/>
        <v>45077</v>
      </c>
      <c r="D841" s="43"/>
      <c r="E841" s="45"/>
    </row>
    <row r="842" spans="1:5" x14ac:dyDescent="0.3">
      <c r="A842" s="54">
        <v>45075</v>
      </c>
      <c r="B842" s="45">
        <v>24538.66</v>
      </c>
      <c r="C842" s="19">
        <f t="shared" si="13"/>
        <v>45077</v>
      </c>
      <c r="D842" s="43"/>
      <c r="E842" s="45"/>
    </row>
    <row r="843" spans="1:5" x14ac:dyDescent="0.3">
      <c r="A843" s="54">
        <v>45076</v>
      </c>
      <c r="B843" s="45">
        <v>24580.880000000001</v>
      </c>
      <c r="C843" s="19">
        <f t="shared" si="13"/>
        <v>45077</v>
      </c>
      <c r="D843" s="43"/>
      <c r="E843" s="45"/>
    </row>
    <row r="844" spans="1:5" x14ac:dyDescent="0.3">
      <c r="A844" s="54">
        <v>45077</v>
      </c>
      <c r="B844" s="45">
        <v>24538.09</v>
      </c>
      <c r="C844" s="19">
        <f t="shared" si="13"/>
        <v>45077</v>
      </c>
      <c r="D844" s="43"/>
      <c r="E844" s="45"/>
    </row>
    <row r="845" spans="1:5" x14ac:dyDescent="0.3">
      <c r="A845" s="54">
        <v>45078</v>
      </c>
      <c r="B845" s="45">
        <v>24528.9</v>
      </c>
      <c r="C845" s="19">
        <f t="shared" si="13"/>
        <v>45107</v>
      </c>
      <c r="D845" s="43"/>
      <c r="E845" s="45"/>
    </row>
    <row r="846" spans="1:5" x14ac:dyDescent="0.3">
      <c r="A846" s="54">
        <v>45079</v>
      </c>
      <c r="B846" s="45">
        <v>24622.76</v>
      </c>
      <c r="C846" s="19">
        <f t="shared" si="13"/>
        <v>45107</v>
      </c>
      <c r="D846" s="43"/>
      <c r="E846" s="45"/>
    </row>
    <row r="847" spans="1:5" x14ac:dyDescent="0.3">
      <c r="A847" s="54">
        <v>45082</v>
      </c>
      <c r="B847" s="45">
        <v>24698.02</v>
      </c>
      <c r="C847" s="19">
        <f t="shared" si="13"/>
        <v>45107</v>
      </c>
      <c r="D847" s="43"/>
      <c r="E847" s="45"/>
    </row>
    <row r="848" spans="1:5" x14ac:dyDescent="0.3">
      <c r="A848" s="54">
        <v>45083</v>
      </c>
      <c r="B848" s="45">
        <v>24727.42</v>
      </c>
      <c r="C848" s="19">
        <f t="shared" si="13"/>
        <v>45107</v>
      </c>
      <c r="D848" s="43"/>
      <c r="E848" s="45"/>
    </row>
    <row r="849" spans="1:5" x14ac:dyDescent="0.3">
      <c r="A849" s="54">
        <v>45084</v>
      </c>
      <c r="B849" s="45">
        <v>24927.81</v>
      </c>
      <c r="C849" s="19">
        <f t="shared" si="13"/>
        <v>45107</v>
      </c>
      <c r="D849" s="43"/>
      <c r="E849" s="45"/>
    </row>
    <row r="850" spans="1:5" x14ac:dyDescent="0.3">
      <c r="A850" s="54">
        <v>45085</v>
      </c>
      <c r="B850" s="45">
        <v>24794.46</v>
      </c>
      <c r="C850" s="19">
        <f t="shared" si="13"/>
        <v>45107</v>
      </c>
      <c r="D850" s="43"/>
      <c r="E850" s="45"/>
    </row>
    <row r="851" spans="1:5" x14ac:dyDescent="0.3">
      <c r="A851" s="54">
        <v>45086</v>
      </c>
      <c r="B851" s="45">
        <v>24728.83</v>
      </c>
      <c r="C851" s="19">
        <f t="shared" si="13"/>
        <v>45107</v>
      </c>
      <c r="D851" s="43"/>
      <c r="E851" s="45"/>
    </row>
    <row r="852" spans="1:5" x14ac:dyDescent="0.3">
      <c r="A852" s="54">
        <v>45089</v>
      </c>
      <c r="B852" s="45">
        <v>24809.86</v>
      </c>
      <c r="C852" s="19">
        <f t="shared" si="13"/>
        <v>45107</v>
      </c>
      <c r="D852" s="43"/>
      <c r="E852" s="45"/>
    </row>
    <row r="853" spans="1:5" x14ac:dyDescent="0.3">
      <c r="A853" s="54">
        <v>45090</v>
      </c>
      <c r="B853" s="45">
        <v>24995.38</v>
      </c>
      <c r="C853" s="19">
        <f t="shared" si="13"/>
        <v>45107</v>
      </c>
      <c r="D853" s="43"/>
      <c r="E853" s="45"/>
    </row>
    <row r="854" spans="1:5" x14ac:dyDescent="0.3">
      <c r="A854" s="54">
        <v>45091</v>
      </c>
      <c r="B854" s="45">
        <v>25051.74</v>
      </c>
      <c r="C854" s="19">
        <f t="shared" si="13"/>
        <v>45107</v>
      </c>
      <c r="D854" s="43"/>
      <c r="E854" s="45"/>
    </row>
    <row r="855" spans="1:5" x14ac:dyDescent="0.3">
      <c r="A855" s="54">
        <v>45092</v>
      </c>
      <c r="B855" s="45">
        <v>25016.49</v>
      </c>
      <c r="C855" s="19">
        <f t="shared" si="13"/>
        <v>45107</v>
      </c>
      <c r="D855" s="43"/>
      <c r="E855" s="45"/>
    </row>
    <row r="856" spans="1:5" x14ac:dyDescent="0.3">
      <c r="A856" s="54">
        <v>45093</v>
      </c>
      <c r="B856" s="45">
        <v>25210.05</v>
      </c>
      <c r="C856" s="19">
        <f t="shared" si="13"/>
        <v>45107</v>
      </c>
      <c r="D856" s="43"/>
      <c r="E856" s="45"/>
    </row>
    <row r="857" spans="1:5" x14ac:dyDescent="0.3">
      <c r="A857" s="54">
        <v>45096</v>
      </c>
      <c r="B857" s="45">
        <v>25152.76</v>
      </c>
      <c r="C857" s="19">
        <f t="shared" si="13"/>
        <v>45107</v>
      </c>
      <c r="D857" s="43"/>
      <c r="E857" s="45"/>
    </row>
    <row r="858" spans="1:5" x14ac:dyDescent="0.3">
      <c r="A858" s="54">
        <v>45097</v>
      </c>
      <c r="B858" s="45">
        <v>25242.91</v>
      </c>
      <c r="C858" s="19">
        <f t="shared" si="13"/>
        <v>45107</v>
      </c>
      <c r="D858" s="43"/>
      <c r="E858" s="45"/>
    </row>
    <row r="859" spans="1:5" x14ac:dyDescent="0.3">
      <c r="A859" s="54">
        <v>45098</v>
      </c>
      <c r="B859" s="45">
        <v>25307.38</v>
      </c>
      <c r="C859" s="19">
        <f t="shared" si="13"/>
        <v>45107</v>
      </c>
      <c r="D859" s="43"/>
      <c r="E859" s="45"/>
    </row>
    <row r="860" spans="1:5" x14ac:dyDescent="0.3">
      <c r="A860" s="54">
        <v>45099</v>
      </c>
      <c r="B860" s="45">
        <v>25151.71</v>
      </c>
      <c r="C860" s="19">
        <f t="shared" si="13"/>
        <v>45107</v>
      </c>
      <c r="D860" s="43"/>
      <c r="E860" s="45"/>
    </row>
    <row r="861" spans="1:5" x14ac:dyDescent="0.3">
      <c r="A861" s="54">
        <v>45100</v>
      </c>
      <c r="B861" s="45">
        <v>24951.37</v>
      </c>
      <c r="C861" s="19">
        <f t="shared" si="13"/>
        <v>45107</v>
      </c>
      <c r="D861" s="43"/>
      <c r="E861" s="45"/>
    </row>
    <row r="862" spans="1:5" x14ac:dyDescent="0.3">
      <c r="A862" s="54">
        <v>45103</v>
      </c>
      <c r="B862" s="45">
        <v>25036.52</v>
      </c>
      <c r="C862" s="19">
        <f t="shared" si="13"/>
        <v>45107</v>
      </c>
      <c r="D862" s="43"/>
      <c r="E862" s="45"/>
    </row>
    <row r="863" spans="1:5" x14ac:dyDescent="0.3">
      <c r="A863" s="54">
        <v>45104</v>
      </c>
      <c r="B863" s="45">
        <v>25188.25</v>
      </c>
      <c r="C863" s="19">
        <f t="shared" si="13"/>
        <v>45107</v>
      </c>
      <c r="D863" s="43"/>
      <c r="E863" s="45"/>
    </row>
    <row r="864" spans="1:5" x14ac:dyDescent="0.3">
      <c r="A864" s="54">
        <v>45105</v>
      </c>
      <c r="B864" s="45">
        <v>25365.599999999999</v>
      </c>
      <c r="C864" s="19">
        <f t="shared" si="13"/>
        <v>45107</v>
      </c>
      <c r="D864" s="43"/>
      <c r="E864" s="45"/>
    </row>
    <row r="865" spans="1:5" x14ac:dyDescent="0.3">
      <c r="A865" s="54">
        <v>45107</v>
      </c>
      <c r="B865" s="45">
        <v>25605.81</v>
      </c>
      <c r="C865" s="19">
        <f t="shared" si="13"/>
        <v>45107</v>
      </c>
      <c r="D865" s="43"/>
      <c r="E865" s="45"/>
    </row>
    <row r="866" spans="1:5" x14ac:dyDescent="0.3">
      <c r="A866" s="54">
        <v>45110</v>
      </c>
      <c r="B866" s="45">
        <v>25758.55</v>
      </c>
      <c r="C866" s="19">
        <f t="shared" si="13"/>
        <v>45138</v>
      </c>
      <c r="D866" s="43"/>
      <c r="E866" s="45"/>
    </row>
    <row r="867" spans="1:5" x14ac:dyDescent="0.3">
      <c r="A867" s="54">
        <v>45111</v>
      </c>
      <c r="B867" s="45">
        <v>25802.39</v>
      </c>
      <c r="C867" s="19">
        <f t="shared" si="13"/>
        <v>45138</v>
      </c>
      <c r="D867" s="43"/>
      <c r="E867" s="45"/>
    </row>
    <row r="868" spans="1:5" x14ac:dyDescent="0.3">
      <c r="A868" s="54">
        <v>45112</v>
      </c>
      <c r="B868" s="45">
        <v>25866.77</v>
      </c>
      <c r="C868" s="19">
        <f t="shared" si="13"/>
        <v>45138</v>
      </c>
      <c r="D868" s="43"/>
      <c r="E868" s="45"/>
    </row>
    <row r="869" spans="1:5" x14ac:dyDescent="0.3">
      <c r="A869" s="54">
        <v>45113</v>
      </c>
      <c r="B869" s="45">
        <v>26019.5</v>
      </c>
      <c r="C869" s="19">
        <f t="shared" si="13"/>
        <v>45138</v>
      </c>
      <c r="D869" s="43"/>
      <c r="E869" s="45"/>
    </row>
    <row r="870" spans="1:5" x14ac:dyDescent="0.3">
      <c r="A870" s="54">
        <v>45114</v>
      </c>
      <c r="B870" s="45">
        <v>25819.68</v>
      </c>
      <c r="C870" s="19">
        <f t="shared" si="13"/>
        <v>45138</v>
      </c>
      <c r="D870" s="43"/>
      <c r="E870" s="45"/>
    </row>
    <row r="871" spans="1:5" x14ac:dyDescent="0.3">
      <c r="A871" s="54">
        <v>45117</v>
      </c>
      <c r="B871" s="45">
        <v>25802.98</v>
      </c>
      <c r="C871" s="19">
        <f t="shared" si="13"/>
        <v>45138</v>
      </c>
      <c r="D871" s="43"/>
      <c r="E871" s="45"/>
    </row>
    <row r="872" spans="1:5" x14ac:dyDescent="0.3">
      <c r="A872" s="54">
        <v>45118</v>
      </c>
      <c r="B872" s="45">
        <v>25951.75</v>
      </c>
      <c r="C872" s="19">
        <f t="shared" si="13"/>
        <v>45138</v>
      </c>
      <c r="D872" s="43"/>
      <c r="E872" s="45"/>
    </row>
    <row r="873" spans="1:5" x14ac:dyDescent="0.3">
      <c r="A873" s="54">
        <v>45119</v>
      </c>
      <c r="B873" s="45">
        <v>25941.03</v>
      </c>
      <c r="C873" s="19">
        <f t="shared" si="13"/>
        <v>45138</v>
      </c>
      <c r="D873" s="43"/>
      <c r="E873" s="45"/>
    </row>
    <row r="874" spans="1:5" x14ac:dyDescent="0.3">
      <c r="A874" s="54">
        <v>45120</v>
      </c>
      <c r="B874" s="45">
        <v>25915.16</v>
      </c>
      <c r="C874" s="19">
        <f t="shared" si="13"/>
        <v>45138</v>
      </c>
      <c r="D874" s="43"/>
      <c r="E874" s="45"/>
    </row>
    <row r="875" spans="1:5" x14ac:dyDescent="0.3">
      <c r="A875" s="54">
        <v>45121</v>
      </c>
      <c r="B875" s="45">
        <v>26140.06</v>
      </c>
      <c r="C875" s="19">
        <f t="shared" si="13"/>
        <v>45138</v>
      </c>
      <c r="D875" s="43"/>
      <c r="E875" s="45"/>
    </row>
    <row r="876" spans="1:5" x14ac:dyDescent="0.3">
      <c r="A876" s="54">
        <v>45124</v>
      </c>
      <c r="B876" s="45">
        <v>26306.400000000001</v>
      </c>
      <c r="C876" s="19">
        <f t="shared" si="13"/>
        <v>45138</v>
      </c>
      <c r="D876" s="43"/>
      <c r="E876" s="45"/>
    </row>
    <row r="877" spans="1:5" x14ac:dyDescent="0.3">
      <c r="A877" s="54">
        <v>45125</v>
      </c>
      <c r="B877" s="45">
        <v>26306.44</v>
      </c>
      <c r="C877" s="19">
        <f t="shared" si="13"/>
        <v>45138</v>
      </c>
      <c r="D877" s="43"/>
      <c r="E877" s="45"/>
    </row>
    <row r="878" spans="1:5" x14ac:dyDescent="0.3">
      <c r="A878" s="54">
        <v>45126</v>
      </c>
      <c r="B878" s="45">
        <v>26433.69</v>
      </c>
      <c r="C878" s="19">
        <f t="shared" si="13"/>
        <v>45138</v>
      </c>
      <c r="D878" s="43"/>
      <c r="E878" s="45"/>
    </row>
    <row r="879" spans="1:5" x14ac:dyDescent="0.3">
      <c r="A879" s="54">
        <v>45127</v>
      </c>
      <c r="B879" s="45">
        <v>26576.66</v>
      </c>
      <c r="C879" s="19">
        <f t="shared" si="13"/>
        <v>45138</v>
      </c>
      <c r="D879" s="43"/>
      <c r="E879" s="45"/>
    </row>
    <row r="880" spans="1:5" x14ac:dyDescent="0.3">
      <c r="A880" s="54">
        <v>45128</v>
      </c>
      <c r="B880" s="45">
        <v>26363.759999999998</v>
      </c>
      <c r="C880" s="19">
        <f t="shared" si="13"/>
        <v>45138</v>
      </c>
      <c r="D880" s="43"/>
      <c r="E880" s="45"/>
    </row>
    <row r="881" spans="1:5" x14ac:dyDescent="0.3">
      <c r="A881" s="54">
        <v>45131</v>
      </c>
      <c r="B881" s="45">
        <v>26302.9</v>
      </c>
      <c r="C881" s="19">
        <f t="shared" si="13"/>
        <v>45138</v>
      </c>
      <c r="D881" s="43"/>
      <c r="E881" s="45"/>
    </row>
    <row r="882" spans="1:5" x14ac:dyDescent="0.3">
      <c r="A882" s="54">
        <v>45132</v>
      </c>
      <c r="B882" s="45">
        <v>26352.58</v>
      </c>
      <c r="C882" s="19">
        <f t="shared" si="13"/>
        <v>45138</v>
      </c>
      <c r="D882" s="43"/>
      <c r="E882" s="45"/>
    </row>
    <row r="883" spans="1:5" x14ac:dyDescent="0.3">
      <c r="A883" s="54">
        <v>45133</v>
      </c>
      <c r="B883" s="45">
        <v>26474.86</v>
      </c>
      <c r="C883" s="19">
        <f t="shared" si="13"/>
        <v>45138</v>
      </c>
      <c r="D883" s="43"/>
      <c r="E883" s="45"/>
    </row>
    <row r="884" spans="1:5" x14ac:dyDescent="0.3">
      <c r="A884" s="54">
        <v>45134</v>
      </c>
      <c r="B884" s="45">
        <v>26390.080000000002</v>
      </c>
      <c r="C884" s="19">
        <f t="shared" si="13"/>
        <v>45138</v>
      </c>
      <c r="D884" s="43"/>
      <c r="E884" s="45"/>
    </row>
    <row r="885" spans="1:5" x14ac:dyDescent="0.3">
      <c r="A885" s="54">
        <v>45135</v>
      </c>
      <c r="B885" s="45">
        <v>26439.89</v>
      </c>
      <c r="C885" s="19">
        <f t="shared" si="13"/>
        <v>45138</v>
      </c>
      <c r="D885" s="43"/>
      <c r="E885" s="45"/>
    </row>
    <row r="886" spans="1:5" x14ac:dyDescent="0.3">
      <c r="A886" s="54">
        <v>45138</v>
      </c>
      <c r="B886" s="45">
        <v>26612.52</v>
      </c>
      <c r="C886" s="19">
        <f t="shared" si="13"/>
        <v>45138</v>
      </c>
      <c r="D886" s="43"/>
      <c r="E886" s="45"/>
    </row>
    <row r="887" spans="1:5" x14ac:dyDescent="0.3">
      <c r="A887" s="54">
        <v>45139</v>
      </c>
      <c r="B887" s="45">
        <v>26600.66</v>
      </c>
      <c r="C887" s="19">
        <f t="shared" si="13"/>
        <v>45169</v>
      </c>
      <c r="D887" s="43"/>
      <c r="E887" s="45"/>
    </row>
    <row r="888" spans="1:5" x14ac:dyDescent="0.3">
      <c r="A888" s="54">
        <v>45140</v>
      </c>
      <c r="B888" s="45">
        <v>26308.16</v>
      </c>
      <c r="C888" s="19">
        <f t="shared" si="13"/>
        <v>45169</v>
      </c>
      <c r="D888" s="43"/>
      <c r="E888" s="45"/>
    </row>
    <row r="889" spans="1:5" x14ac:dyDescent="0.3">
      <c r="A889" s="54">
        <v>45141</v>
      </c>
      <c r="B889" s="45">
        <v>26176.98</v>
      </c>
      <c r="C889" s="19">
        <f t="shared" si="13"/>
        <v>45169</v>
      </c>
      <c r="D889" s="43"/>
      <c r="E889" s="45"/>
    </row>
    <row r="890" spans="1:5" x14ac:dyDescent="0.3">
      <c r="A890" s="54">
        <v>45142</v>
      </c>
      <c r="B890" s="45">
        <v>26362.94</v>
      </c>
      <c r="C890" s="19">
        <f t="shared" si="13"/>
        <v>45169</v>
      </c>
      <c r="D890" s="43"/>
      <c r="E890" s="45"/>
    </row>
    <row r="891" spans="1:5" x14ac:dyDescent="0.3">
      <c r="A891" s="54">
        <v>45145</v>
      </c>
      <c r="B891" s="45">
        <v>26465.57</v>
      </c>
      <c r="C891" s="19">
        <f t="shared" si="13"/>
        <v>45169</v>
      </c>
      <c r="D891" s="43"/>
      <c r="E891" s="45"/>
    </row>
    <row r="892" spans="1:5" x14ac:dyDescent="0.3">
      <c r="A892" s="54">
        <v>45146</v>
      </c>
      <c r="B892" s="45">
        <v>26454.63</v>
      </c>
      <c r="C892" s="19">
        <f t="shared" si="13"/>
        <v>45169</v>
      </c>
      <c r="D892" s="43"/>
      <c r="E892" s="45"/>
    </row>
    <row r="893" spans="1:5" x14ac:dyDescent="0.3">
      <c r="A893" s="54">
        <v>45147</v>
      </c>
      <c r="B893" s="45">
        <v>26551.16</v>
      </c>
      <c r="C893" s="19">
        <f t="shared" si="13"/>
        <v>45169</v>
      </c>
      <c r="D893" s="43"/>
      <c r="E893" s="45"/>
    </row>
    <row r="894" spans="1:5" x14ac:dyDescent="0.3">
      <c r="A894" s="54">
        <v>45148</v>
      </c>
      <c r="B894" s="45">
        <v>26451.46</v>
      </c>
      <c r="C894" s="19">
        <f t="shared" si="13"/>
        <v>45169</v>
      </c>
      <c r="D894" s="43"/>
      <c r="E894" s="45"/>
    </row>
    <row r="895" spans="1:5" x14ac:dyDescent="0.3">
      <c r="A895" s="54">
        <v>45149</v>
      </c>
      <c r="B895" s="45">
        <v>26335.87</v>
      </c>
      <c r="C895" s="19">
        <f t="shared" si="13"/>
        <v>45169</v>
      </c>
      <c r="D895" s="43"/>
      <c r="E895" s="45"/>
    </row>
    <row r="896" spans="1:5" x14ac:dyDescent="0.3">
      <c r="A896" s="54">
        <v>45152</v>
      </c>
      <c r="B896" s="45">
        <v>26285.200000000001</v>
      </c>
      <c r="C896" s="19">
        <f t="shared" si="13"/>
        <v>45169</v>
      </c>
      <c r="D896" s="43"/>
      <c r="E896" s="45"/>
    </row>
    <row r="897" spans="1:5" x14ac:dyDescent="0.3">
      <c r="A897" s="54">
        <v>45154</v>
      </c>
      <c r="B897" s="45">
        <v>26328.16</v>
      </c>
      <c r="C897" s="19">
        <f t="shared" si="13"/>
        <v>45169</v>
      </c>
      <c r="D897" s="43"/>
      <c r="E897" s="45"/>
    </row>
    <row r="898" spans="1:5" x14ac:dyDescent="0.3">
      <c r="A898" s="54">
        <v>45155</v>
      </c>
      <c r="B898" s="45">
        <v>26249.46</v>
      </c>
      <c r="C898" s="19">
        <f t="shared" ref="C898:C961" si="14">EOMONTH(A898,0)</f>
        <v>45169</v>
      </c>
      <c r="D898" s="43"/>
      <c r="E898" s="45"/>
    </row>
    <row r="899" spans="1:5" x14ac:dyDescent="0.3">
      <c r="A899" s="54">
        <v>45156</v>
      </c>
      <c r="B899" s="45">
        <v>26183.37</v>
      </c>
      <c r="C899" s="19">
        <f t="shared" si="14"/>
        <v>45169</v>
      </c>
      <c r="D899" s="43"/>
      <c r="E899" s="45"/>
    </row>
    <row r="900" spans="1:5" x14ac:dyDescent="0.3">
      <c r="A900" s="54">
        <v>45159</v>
      </c>
      <c r="B900" s="45">
        <v>26337.03</v>
      </c>
      <c r="C900" s="19">
        <f t="shared" si="14"/>
        <v>45169</v>
      </c>
      <c r="D900" s="43"/>
      <c r="E900" s="45"/>
    </row>
    <row r="901" spans="1:5" x14ac:dyDescent="0.3">
      <c r="A901" s="54">
        <v>45160</v>
      </c>
      <c r="B901" s="45">
        <v>26420.68</v>
      </c>
      <c r="C901" s="19">
        <f t="shared" si="14"/>
        <v>45169</v>
      </c>
      <c r="D901" s="43"/>
      <c r="E901" s="45"/>
    </row>
    <row r="902" spans="1:5" x14ac:dyDescent="0.3">
      <c r="A902" s="54">
        <v>45161</v>
      </c>
      <c r="B902" s="45">
        <v>26491.09</v>
      </c>
      <c r="C902" s="19">
        <f t="shared" si="14"/>
        <v>45169</v>
      </c>
      <c r="D902" s="43"/>
      <c r="E902" s="45"/>
    </row>
    <row r="903" spans="1:5" x14ac:dyDescent="0.3">
      <c r="A903" s="54">
        <v>45162</v>
      </c>
      <c r="B903" s="45">
        <v>26459.919999999998</v>
      </c>
      <c r="C903" s="19">
        <f t="shared" si="14"/>
        <v>45169</v>
      </c>
      <c r="D903" s="43"/>
      <c r="E903" s="45"/>
    </row>
    <row r="904" spans="1:5" x14ac:dyDescent="0.3">
      <c r="A904" s="54">
        <v>45163</v>
      </c>
      <c r="B904" s="45">
        <v>26289.91</v>
      </c>
      <c r="C904" s="19">
        <f t="shared" si="14"/>
        <v>45169</v>
      </c>
      <c r="D904" s="43"/>
      <c r="E904" s="45"/>
    </row>
    <row r="905" spans="1:5" x14ac:dyDescent="0.3">
      <c r="A905" s="54">
        <v>45166</v>
      </c>
      <c r="B905" s="45">
        <v>26374.959999999999</v>
      </c>
      <c r="C905" s="19">
        <f t="shared" si="14"/>
        <v>45169</v>
      </c>
      <c r="D905" s="43"/>
      <c r="E905" s="45"/>
    </row>
    <row r="906" spans="1:5" x14ac:dyDescent="0.3">
      <c r="A906" s="54">
        <v>45167</v>
      </c>
      <c r="B906" s="45">
        <v>26456.41</v>
      </c>
      <c r="C906" s="19">
        <f t="shared" si="14"/>
        <v>45169</v>
      </c>
      <c r="D906" s="43"/>
      <c r="E906" s="45"/>
    </row>
    <row r="907" spans="1:5" x14ac:dyDescent="0.3">
      <c r="A907" s="54">
        <v>45168</v>
      </c>
      <c r="B907" s="45">
        <v>26521.52</v>
      </c>
      <c r="C907" s="19">
        <f t="shared" si="14"/>
        <v>45169</v>
      </c>
      <c r="D907" s="43"/>
      <c r="E907" s="45"/>
    </row>
    <row r="908" spans="1:5" x14ac:dyDescent="0.3">
      <c r="A908" s="54">
        <v>45169</v>
      </c>
      <c r="B908" s="45">
        <v>26451.77</v>
      </c>
      <c r="C908" s="19">
        <f t="shared" si="14"/>
        <v>45169</v>
      </c>
      <c r="D908" s="43"/>
      <c r="E908" s="45"/>
    </row>
    <row r="909" spans="1:5" x14ac:dyDescent="0.3">
      <c r="A909" s="54">
        <v>45170</v>
      </c>
      <c r="B909" s="45">
        <v>26687.23</v>
      </c>
      <c r="C909" s="19">
        <f t="shared" si="14"/>
        <v>45199</v>
      </c>
      <c r="D909" s="43"/>
      <c r="E909" s="45"/>
    </row>
    <row r="910" spans="1:5" x14ac:dyDescent="0.3">
      <c r="A910" s="54">
        <v>45173</v>
      </c>
      <c r="B910" s="45">
        <v>26853.57</v>
      </c>
      <c r="C910" s="19">
        <f t="shared" si="14"/>
        <v>45199</v>
      </c>
      <c r="D910" s="43"/>
      <c r="E910" s="45"/>
    </row>
    <row r="911" spans="1:5" x14ac:dyDescent="0.3">
      <c r="A911" s="54">
        <v>45174</v>
      </c>
      <c r="B911" s="45">
        <v>26964.77</v>
      </c>
      <c r="C911" s="19">
        <f t="shared" si="14"/>
        <v>45199</v>
      </c>
      <c r="D911" s="43"/>
      <c r="E911" s="45"/>
    </row>
    <row r="912" spans="1:5" x14ac:dyDescent="0.3">
      <c r="A912" s="54">
        <v>45175</v>
      </c>
      <c r="B912" s="45">
        <v>27015.63</v>
      </c>
      <c r="C912" s="19">
        <f t="shared" si="14"/>
        <v>45199</v>
      </c>
      <c r="D912" s="43"/>
      <c r="E912" s="45"/>
    </row>
    <row r="913" spans="1:5" x14ac:dyDescent="0.3">
      <c r="A913" s="54">
        <v>45176</v>
      </c>
      <c r="B913" s="45">
        <v>27173.35</v>
      </c>
      <c r="C913" s="19">
        <f t="shared" si="14"/>
        <v>45199</v>
      </c>
      <c r="D913" s="43"/>
      <c r="E913" s="45"/>
    </row>
    <row r="914" spans="1:5" x14ac:dyDescent="0.3">
      <c r="A914" s="54">
        <v>45177</v>
      </c>
      <c r="B914" s="45">
        <v>27333.040000000001</v>
      </c>
      <c r="C914" s="19">
        <f t="shared" si="14"/>
        <v>45199</v>
      </c>
      <c r="D914" s="43"/>
      <c r="E914" s="45"/>
    </row>
    <row r="915" spans="1:5" x14ac:dyDescent="0.3">
      <c r="A915" s="54">
        <v>45180</v>
      </c>
      <c r="B915" s="45">
        <v>27592.63</v>
      </c>
      <c r="C915" s="19">
        <f t="shared" si="14"/>
        <v>45199</v>
      </c>
      <c r="D915" s="43"/>
      <c r="E915" s="45"/>
    </row>
    <row r="916" spans="1:5" x14ac:dyDescent="0.3">
      <c r="A916" s="54">
        <v>45181</v>
      </c>
      <c r="B916" s="45">
        <v>27291.38</v>
      </c>
      <c r="C916" s="19">
        <f t="shared" si="14"/>
        <v>45199</v>
      </c>
      <c r="D916" s="43"/>
      <c r="E916" s="45"/>
    </row>
    <row r="917" spans="1:5" x14ac:dyDescent="0.3">
      <c r="A917" s="54">
        <v>45182</v>
      </c>
      <c r="B917" s="45">
        <v>27394.9</v>
      </c>
      <c r="C917" s="19">
        <f t="shared" si="14"/>
        <v>45199</v>
      </c>
      <c r="D917" s="43"/>
      <c r="E917" s="45"/>
    </row>
    <row r="918" spans="1:5" x14ac:dyDescent="0.3">
      <c r="A918" s="54">
        <v>45183</v>
      </c>
      <c r="B918" s="45">
        <v>27515.02</v>
      </c>
      <c r="C918" s="19">
        <f t="shared" si="14"/>
        <v>45199</v>
      </c>
      <c r="D918" s="43"/>
      <c r="E918" s="45"/>
    </row>
    <row r="919" spans="1:5" x14ac:dyDescent="0.3">
      <c r="A919" s="54">
        <v>45184</v>
      </c>
      <c r="B919" s="45">
        <v>27612.99</v>
      </c>
      <c r="C919" s="19">
        <f t="shared" si="14"/>
        <v>45199</v>
      </c>
      <c r="D919" s="43"/>
      <c r="E919" s="45"/>
    </row>
    <row r="920" spans="1:5" x14ac:dyDescent="0.3">
      <c r="A920" s="54">
        <v>45187</v>
      </c>
      <c r="B920" s="45">
        <v>27531.77</v>
      </c>
      <c r="C920" s="19">
        <f t="shared" si="14"/>
        <v>45199</v>
      </c>
      <c r="D920" s="43"/>
      <c r="E920" s="45"/>
    </row>
    <row r="921" spans="1:5" x14ac:dyDescent="0.3">
      <c r="A921" s="54">
        <v>45189</v>
      </c>
      <c r="B921" s="45">
        <v>27275.34</v>
      </c>
      <c r="C921" s="19">
        <f t="shared" si="14"/>
        <v>45199</v>
      </c>
      <c r="D921" s="43"/>
      <c r="E921" s="45"/>
    </row>
    <row r="922" spans="1:5" x14ac:dyDescent="0.3">
      <c r="A922" s="54">
        <v>45190</v>
      </c>
      <c r="B922" s="45">
        <v>27047.52</v>
      </c>
      <c r="C922" s="19">
        <f t="shared" si="14"/>
        <v>45199</v>
      </c>
      <c r="D922" s="43"/>
      <c r="E922" s="45"/>
    </row>
    <row r="923" spans="1:5" x14ac:dyDescent="0.3">
      <c r="A923" s="54">
        <v>45191</v>
      </c>
      <c r="B923" s="45">
        <v>26981.05</v>
      </c>
      <c r="C923" s="19">
        <f t="shared" si="14"/>
        <v>45199</v>
      </c>
      <c r="D923" s="43"/>
      <c r="E923" s="45"/>
    </row>
    <row r="924" spans="1:5" x14ac:dyDescent="0.3">
      <c r="A924" s="54">
        <v>45194</v>
      </c>
      <c r="B924" s="45">
        <v>26999.45</v>
      </c>
      <c r="C924" s="19">
        <f t="shared" si="14"/>
        <v>45199</v>
      </c>
      <c r="D924" s="43"/>
      <c r="E924" s="45"/>
    </row>
    <row r="925" spans="1:5" x14ac:dyDescent="0.3">
      <c r="A925" s="54">
        <v>45196</v>
      </c>
      <c r="B925" s="45">
        <v>27107.39</v>
      </c>
      <c r="C925" s="19">
        <f t="shared" si="14"/>
        <v>45199</v>
      </c>
      <c r="D925" s="43"/>
      <c r="E925" s="45"/>
    </row>
    <row r="926" spans="1:5" x14ac:dyDescent="0.3">
      <c r="A926" s="54">
        <v>45197</v>
      </c>
      <c r="B926" s="45">
        <v>26840.81</v>
      </c>
      <c r="C926" s="19">
        <f t="shared" si="14"/>
        <v>45199</v>
      </c>
      <c r="D926" s="43"/>
      <c r="E926" s="45"/>
    </row>
    <row r="927" spans="1:5" x14ac:dyDescent="0.3">
      <c r="A927" s="54">
        <v>45198</v>
      </c>
      <c r="B927" s="45">
        <v>27031.74</v>
      </c>
      <c r="C927" s="19">
        <f t="shared" si="14"/>
        <v>45199</v>
      </c>
      <c r="D927" s="43"/>
      <c r="E927" s="45"/>
    </row>
    <row r="928" spans="1:5" x14ac:dyDescent="0.3">
      <c r="A928" s="54">
        <v>45202</v>
      </c>
      <c r="B928" s="45">
        <v>26972.02</v>
      </c>
      <c r="C928" s="19">
        <f t="shared" si="14"/>
        <v>45230</v>
      </c>
      <c r="D928" s="43"/>
      <c r="E928" s="45"/>
    </row>
    <row r="929" spans="1:5" x14ac:dyDescent="0.3">
      <c r="A929" s="54">
        <v>45203</v>
      </c>
      <c r="B929" s="45">
        <v>26766.76</v>
      </c>
      <c r="C929" s="19">
        <f t="shared" si="14"/>
        <v>45230</v>
      </c>
      <c r="D929" s="43"/>
      <c r="E929" s="45"/>
    </row>
    <row r="930" spans="1:5" x14ac:dyDescent="0.3">
      <c r="A930" s="54">
        <v>45204</v>
      </c>
      <c r="B930" s="45">
        <v>26880.39</v>
      </c>
      <c r="C930" s="19">
        <f t="shared" si="14"/>
        <v>45230</v>
      </c>
      <c r="D930" s="43"/>
      <c r="E930" s="45"/>
    </row>
    <row r="931" spans="1:5" x14ac:dyDescent="0.3">
      <c r="A931" s="54">
        <v>45205</v>
      </c>
      <c r="B931" s="45">
        <v>27033.29</v>
      </c>
      <c r="C931" s="19">
        <f t="shared" si="14"/>
        <v>45230</v>
      </c>
      <c r="D931" s="43"/>
      <c r="E931" s="45"/>
    </row>
    <row r="932" spans="1:5" x14ac:dyDescent="0.3">
      <c r="A932" s="54">
        <v>45208</v>
      </c>
      <c r="B932" s="45">
        <v>26773.95</v>
      </c>
      <c r="C932" s="19">
        <f t="shared" si="14"/>
        <v>45230</v>
      </c>
      <c r="D932" s="43"/>
      <c r="E932" s="45"/>
    </row>
    <row r="933" spans="1:5" x14ac:dyDescent="0.3">
      <c r="A933" s="54">
        <v>45209</v>
      </c>
      <c r="B933" s="45">
        <v>27048.54</v>
      </c>
      <c r="C933" s="19">
        <f t="shared" si="14"/>
        <v>45230</v>
      </c>
      <c r="D933" s="43"/>
      <c r="E933" s="45"/>
    </row>
    <row r="934" spans="1:5" x14ac:dyDescent="0.3">
      <c r="A934" s="54">
        <v>45210</v>
      </c>
      <c r="B934" s="45">
        <v>27211.1</v>
      </c>
      <c r="C934" s="19">
        <f t="shared" si="14"/>
        <v>45230</v>
      </c>
      <c r="D934" s="43"/>
      <c r="E934" s="45"/>
    </row>
    <row r="935" spans="1:5" x14ac:dyDescent="0.3">
      <c r="A935" s="54">
        <v>45211</v>
      </c>
      <c r="B935" s="45">
        <v>27230.45</v>
      </c>
      <c r="C935" s="19">
        <f t="shared" si="14"/>
        <v>45230</v>
      </c>
      <c r="D935" s="43"/>
      <c r="E935" s="45"/>
    </row>
    <row r="936" spans="1:5" x14ac:dyDescent="0.3">
      <c r="A936" s="54">
        <v>45212</v>
      </c>
      <c r="B936" s="45">
        <v>27184.52</v>
      </c>
      <c r="C936" s="19">
        <f t="shared" si="14"/>
        <v>45230</v>
      </c>
      <c r="D936" s="43"/>
      <c r="E936" s="45"/>
    </row>
    <row r="937" spans="1:5" x14ac:dyDescent="0.3">
      <c r="A937" s="54">
        <v>45215</v>
      </c>
      <c r="B937" s="45">
        <v>27188.68</v>
      </c>
      <c r="C937" s="19">
        <f t="shared" si="14"/>
        <v>45230</v>
      </c>
      <c r="D937" s="43"/>
      <c r="E937" s="45"/>
    </row>
    <row r="938" spans="1:5" x14ac:dyDescent="0.3">
      <c r="A938" s="54">
        <v>45216</v>
      </c>
      <c r="B938" s="45">
        <v>27305.47</v>
      </c>
      <c r="C938" s="19">
        <f t="shared" si="14"/>
        <v>45230</v>
      </c>
      <c r="D938" s="43"/>
      <c r="E938" s="45"/>
    </row>
    <row r="939" spans="1:5" x14ac:dyDescent="0.3">
      <c r="A939" s="54">
        <v>45217</v>
      </c>
      <c r="B939" s="45">
        <v>27112.09</v>
      </c>
      <c r="C939" s="19">
        <f t="shared" si="14"/>
        <v>45230</v>
      </c>
      <c r="D939" s="43"/>
      <c r="E939" s="45"/>
    </row>
    <row r="940" spans="1:5" x14ac:dyDescent="0.3">
      <c r="A940" s="54">
        <v>45218</v>
      </c>
      <c r="B940" s="45">
        <v>27061.52</v>
      </c>
      <c r="C940" s="19">
        <f t="shared" si="14"/>
        <v>45230</v>
      </c>
      <c r="D940" s="43"/>
      <c r="E940" s="45"/>
    </row>
    <row r="941" spans="1:5" x14ac:dyDescent="0.3">
      <c r="A941" s="54">
        <v>45219</v>
      </c>
      <c r="B941" s="45">
        <v>26905.17</v>
      </c>
      <c r="C941" s="19">
        <f t="shared" si="14"/>
        <v>45230</v>
      </c>
      <c r="D941" s="43"/>
      <c r="E941" s="45"/>
    </row>
    <row r="942" spans="1:5" x14ac:dyDescent="0.3">
      <c r="A942" s="54">
        <v>45222</v>
      </c>
      <c r="B942" s="45">
        <v>26404.83</v>
      </c>
      <c r="C942" s="19">
        <f t="shared" si="14"/>
        <v>45230</v>
      </c>
      <c r="D942" s="43"/>
      <c r="E942" s="45"/>
    </row>
    <row r="943" spans="1:5" x14ac:dyDescent="0.3">
      <c r="A943" s="54">
        <v>45224</v>
      </c>
      <c r="B943" s="45">
        <v>26217.58</v>
      </c>
      <c r="C943" s="19">
        <f t="shared" si="14"/>
        <v>45230</v>
      </c>
      <c r="D943" s="43"/>
      <c r="E943" s="45"/>
    </row>
    <row r="944" spans="1:5" x14ac:dyDescent="0.3">
      <c r="A944" s="54">
        <v>45225</v>
      </c>
      <c r="B944" s="45">
        <v>25896.34</v>
      </c>
      <c r="C944" s="19">
        <f t="shared" si="14"/>
        <v>45230</v>
      </c>
      <c r="D944" s="43"/>
      <c r="E944" s="45"/>
    </row>
    <row r="945" spans="1:5" x14ac:dyDescent="0.3">
      <c r="A945" s="54">
        <v>45226</v>
      </c>
      <c r="B945" s="45">
        <v>26225.88</v>
      </c>
      <c r="C945" s="19">
        <f t="shared" si="14"/>
        <v>45230</v>
      </c>
      <c r="D945" s="43"/>
      <c r="E945" s="45"/>
    </row>
    <row r="946" spans="1:5" x14ac:dyDescent="0.3">
      <c r="A946" s="54">
        <v>45229</v>
      </c>
      <c r="B946" s="45">
        <v>26320.74</v>
      </c>
      <c r="C946" s="19">
        <f t="shared" si="14"/>
        <v>45230</v>
      </c>
      <c r="D946" s="43"/>
      <c r="E946" s="45"/>
    </row>
    <row r="947" spans="1:5" x14ac:dyDescent="0.3">
      <c r="A947" s="54">
        <v>45230</v>
      </c>
      <c r="B947" s="45">
        <v>26281.759999999998</v>
      </c>
      <c r="C947" s="19">
        <f t="shared" si="14"/>
        <v>45230</v>
      </c>
      <c r="D947" s="43"/>
      <c r="E947" s="45"/>
    </row>
    <row r="948" spans="1:5" x14ac:dyDescent="0.3">
      <c r="A948" s="54">
        <v>45231</v>
      </c>
      <c r="B948" s="45">
        <v>26176.34</v>
      </c>
      <c r="C948" s="19">
        <f t="shared" si="14"/>
        <v>45260</v>
      </c>
      <c r="D948" s="43"/>
      <c r="E948" s="45"/>
    </row>
    <row r="949" spans="1:5" x14ac:dyDescent="0.3">
      <c r="A949" s="54">
        <v>45232</v>
      </c>
      <c r="B949" s="45">
        <v>26428.25</v>
      </c>
      <c r="C949" s="19">
        <f t="shared" si="14"/>
        <v>45260</v>
      </c>
      <c r="D949" s="43"/>
      <c r="E949" s="45"/>
    </row>
    <row r="950" spans="1:5" x14ac:dyDescent="0.3">
      <c r="A950" s="54">
        <v>45233</v>
      </c>
      <c r="B950" s="45">
        <v>26603.200000000001</v>
      </c>
      <c r="C950" s="19">
        <f t="shared" si="14"/>
        <v>45260</v>
      </c>
      <c r="D950" s="43"/>
      <c r="E950" s="45"/>
    </row>
    <row r="951" spans="1:5" x14ac:dyDescent="0.3">
      <c r="A951" s="54">
        <v>45236</v>
      </c>
      <c r="B951" s="45">
        <v>26852.91</v>
      </c>
      <c r="C951" s="19">
        <f t="shared" si="14"/>
        <v>45260</v>
      </c>
      <c r="D951" s="43"/>
      <c r="E951" s="45"/>
    </row>
    <row r="952" spans="1:5" x14ac:dyDescent="0.3">
      <c r="A952" s="54">
        <v>45237</v>
      </c>
      <c r="B952" s="45">
        <v>26897.88</v>
      </c>
      <c r="C952" s="19">
        <f t="shared" si="14"/>
        <v>45260</v>
      </c>
      <c r="D952" s="43"/>
      <c r="E952" s="45"/>
    </row>
    <row r="953" spans="1:5" x14ac:dyDescent="0.3">
      <c r="A953" s="54">
        <v>45238</v>
      </c>
      <c r="B953" s="45">
        <v>27010.76</v>
      </c>
      <c r="C953" s="19">
        <f t="shared" si="14"/>
        <v>45260</v>
      </c>
      <c r="D953" s="43"/>
      <c r="E953" s="45"/>
    </row>
    <row r="954" spans="1:5" x14ac:dyDescent="0.3">
      <c r="A954" s="54">
        <v>45239</v>
      </c>
      <c r="B954" s="45">
        <v>26947.4</v>
      </c>
      <c r="C954" s="19">
        <f t="shared" si="14"/>
        <v>45260</v>
      </c>
      <c r="D954" s="43"/>
      <c r="E954" s="45"/>
    </row>
    <row r="955" spans="1:5" x14ac:dyDescent="0.3">
      <c r="A955" s="54">
        <v>45240</v>
      </c>
      <c r="B955" s="45">
        <v>27007.31</v>
      </c>
      <c r="C955" s="19">
        <f t="shared" si="14"/>
        <v>45260</v>
      </c>
      <c r="D955" s="43"/>
      <c r="E955" s="45"/>
    </row>
    <row r="956" spans="1:5" x14ac:dyDescent="0.3">
      <c r="A956" s="54">
        <v>45242</v>
      </c>
      <c r="B956" s="45">
        <v>27170.84</v>
      </c>
      <c r="C956" s="19">
        <f t="shared" si="14"/>
        <v>45260</v>
      </c>
      <c r="D956" s="43"/>
      <c r="E956" s="45"/>
    </row>
    <row r="957" spans="1:5" x14ac:dyDescent="0.3">
      <c r="A957" s="54">
        <v>45243</v>
      </c>
      <c r="B957" s="45">
        <v>27105.14</v>
      </c>
      <c r="C957" s="19">
        <f t="shared" si="14"/>
        <v>45260</v>
      </c>
      <c r="D957" s="43"/>
      <c r="E957" s="45"/>
    </row>
    <row r="958" spans="1:5" x14ac:dyDescent="0.3">
      <c r="A958" s="54">
        <v>45245</v>
      </c>
      <c r="B958" s="45">
        <v>27402.22</v>
      </c>
      <c r="C958" s="19">
        <f t="shared" si="14"/>
        <v>45260</v>
      </c>
      <c r="D958" s="43"/>
      <c r="E958" s="45"/>
    </row>
    <row r="959" spans="1:5" x14ac:dyDescent="0.3">
      <c r="A959" s="54">
        <v>45246</v>
      </c>
      <c r="B959" s="45">
        <v>27539.17</v>
      </c>
      <c r="C959" s="19">
        <f t="shared" si="14"/>
        <v>45260</v>
      </c>
      <c r="D959" s="43"/>
      <c r="E959" s="45"/>
    </row>
    <row r="960" spans="1:5" x14ac:dyDescent="0.3">
      <c r="A960" s="54">
        <v>45247</v>
      </c>
      <c r="B960" s="45">
        <v>27551.74</v>
      </c>
      <c r="C960" s="19">
        <f t="shared" si="14"/>
        <v>45260</v>
      </c>
      <c r="D960" s="43"/>
      <c r="E960" s="45"/>
    </row>
    <row r="961" spans="1:5" x14ac:dyDescent="0.3">
      <c r="A961" s="54">
        <v>45250</v>
      </c>
      <c r="B961" s="45">
        <v>27510.09</v>
      </c>
      <c r="C961" s="19">
        <f t="shared" si="14"/>
        <v>45260</v>
      </c>
      <c r="D961" s="43"/>
      <c r="E961" s="45"/>
    </row>
    <row r="962" spans="1:5" x14ac:dyDescent="0.3">
      <c r="A962" s="54">
        <v>45251</v>
      </c>
      <c r="B962" s="45">
        <v>27594.87</v>
      </c>
      <c r="C962" s="19">
        <f t="shared" ref="C962:C1025" si="15">EOMONTH(A962,0)</f>
        <v>45260</v>
      </c>
      <c r="D962" s="43"/>
      <c r="E962" s="45"/>
    </row>
    <row r="963" spans="1:5" x14ac:dyDescent="0.3">
      <c r="A963" s="54">
        <v>45252</v>
      </c>
      <c r="B963" s="45">
        <v>27595.66</v>
      </c>
      <c r="C963" s="19">
        <f t="shared" si="15"/>
        <v>45260</v>
      </c>
      <c r="D963" s="43"/>
      <c r="E963" s="45"/>
    </row>
    <row r="964" spans="1:5" x14ac:dyDescent="0.3">
      <c r="A964" s="54">
        <v>45253</v>
      </c>
      <c r="B964" s="45">
        <v>27614.05</v>
      </c>
      <c r="C964" s="19">
        <f t="shared" si="15"/>
        <v>45260</v>
      </c>
      <c r="D964" s="43"/>
      <c r="E964" s="45"/>
    </row>
    <row r="965" spans="1:5" x14ac:dyDescent="0.3">
      <c r="A965" s="54">
        <v>45254</v>
      </c>
      <c r="B965" s="45">
        <v>27621.9</v>
      </c>
      <c r="C965" s="19">
        <f t="shared" si="15"/>
        <v>45260</v>
      </c>
      <c r="D965" s="43"/>
      <c r="E965" s="45"/>
    </row>
    <row r="966" spans="1:5" x14ac:dyDescent="0.3">
      <c r="A966" s="54">
        <v>45258</v>
      </c>
      <c r="B966" s="45">
        <v>27775.75</v>
      </c>
      <c r="C966" s="19">
        <f t="shared" si="15"/>
        <v>45260</v>
      </c>
      <c r="D966" s="43"/>
      <c r="E966" s="45"/>
    </row>
    <row r="967" spans="1:5" x14ac:dyDescent="0.3">
      <c r="A967" s="54">
        <v>45259</v>
      </c>
      <c r="B967" s="45">
        <v>28029.82</v>
      </c>
      <c r="C967" s="19">
        <f t="shared" si="15"/>
        <v>45260</v>
      </c>
      <c r="D967" s="43"/>
      <c r="E967" s="45"/>
    </row>
    <row r="968" spans="1:5" x14ac:dyDescent="0.3">
      <c r="A968" s="54">
        <v>45260</v>
      </c>
      <c r="B968" s="45">
        <v>28161.16</v>
      </c>
      <c r="C968" s="19">
        <f t="shared" si="15"/>
        <v>45260</v>
      </c>
      <c r="D968" s="43"/>
      <c r="E968" s="45"/>
    </row>
    <row r="969" spans="1:5" x14ac:dyDescent="0.3">
      <c r="A969" s="54">
        <v>45261</v>
      </c>
      <c r="B969" s="45">
        <v>28360.55</v>
      </c>
      <c r="C969" s="19">
        <f t="shared" si="15"/>
        <v>45291</v>
      </c>
      <c r="D969" s="43"/>
      <c r="E969" s="45"/>
    </row>
    <row r="970" spans="1:5" x14ac:dyDescent="0.3">
      <c r="A970" s="54">
        <v>45264</v>
      </c>
      <c r="B970" s="45">
        <v>28882.17</v>
      </c>
      <c r="C970" s="19">
        <f t="shared" si="15"/>
        <v>45291</v>
      </c>
      <c r="D970" s="43"/>
      <c r="E970" s="45"/>
    </row>
    <row r="971" spans="1:5" x14ac:dyDescent="0.3">
      <c r="A971" s="54">
        <v>45265</v>
      </c>
      <c r="B971" s="45">
        <v>29101.4</v>
      </c>
      <c r="C971" s="19">
        <f t="shared" si="15"/>
        <v>45291</v>
      </c>
      <c r="D971" s="43"/>
      <c r="E971" s="45"/>
    </row>
    <row r="972" spans="1:5" x14ac:dyDescent="0.3">
      <c r="A972" s="54">
        <v>45266</v>
      </c>
      <c r="B972" s="45">
        <v>29244.57</v>
      </c>
      <c r="C972" s="19">
        <f t="shared" si="15"/>
        <v>45291</v>
      </c>
      <c r="D972" s="43"/>
      <c r="E972" s="45"/>
    </row>
    <row r="973" spans="1:5" x14ac:dyDescent="0.3">
      <c r="A973" s="54">
        <v>45267</v>
      </c>
      <c r="B973" s="45">
        <v>29281.91</v>
      </c>
      <c r="C973" s="19">
        <f t="shared" si="15"/>
        <v>45291</v>
      </c>
      <c r="D973" s="43"/>
      <c r="E973" s="45"/>
    </row>
    <row r="974" spans="1:5" x14ac:dyDescent="0.3">
      <c r="A974" s="54">
        <v>45268</v>
      </c>
      <c r="B974" s="45">
        <v>29281.34</v>
      </c>
      <c r="C974" s="19">
        <f t="shared" si="15"/>
        <v>45291</v>
      </c>
      <c r="D974" s="43"/>
      <c r="E974" s="45"/>
    </row>
    <row r="975" spans="1:5" x14ac:dyDescent="0.3">
      <c r="A975" s="54">
        <v>45271</v>
      </c>
      <c r="B975" s="45">
        <v>29385.81</v>
      </c>
      <c r="C975" s="19">
        <f t="shared" si="15"/>
        <v>45291</v>
      </c>
      <c r="D975" s="43"/>
      <c r="E975" s="45"/>
    </row>
    <row r="976" spans="1:5" x14ac:dyDescent="0.3">
      <c r="A976" s="54">
        <v>45272</v>
      </c>
      <c r="B976" s="45">
        <v>29255.200000000001</v>
      </c>
      <c r="C976" s="19">
        <f t="shared" si="15"/>
        <v>45291</v>
      </c>
      <c r="D976" s="43"/>
      <c r="E976" s="45"/>
    </row>
    <row r="977" spans="1:5" x14ac:dyDescent="0.3">
      <c r="A977" s="54">
        <v>45273</v>
      </c>
      <c r="B977" s="45">
        <v>29356.39</v>
      </c>
      <c r="C977" s="19">
        <f t="shared" si="15"/>
        <v>45291</v>
      </c>
      <c r="D977" s="43"/>
      <c r="E977" s="45"/>
    </row>
    <row r="978" spans="1:5" x14ac:dyDescent="0.3">
      <c r="A978" s="54">
        <v>45274</v>
      </c>
      <c r="B978" s="45">
        <v>29704.91</v>
      </c>
      <c r="C978" s="19">
        <f t="shared" si="15"/>
        <v>45291</v>
      </c>
      <c r="D978" s="43"/>
      <c r="E978" s="45"/>
    </row>
    <row r="979" spans="1:5" x14ac:dyDescent="0.3">
      <c r="A979" s="54">
        <v>45275</v>
      </c>
      <c r="B979" s="45">
        <v>29972.97</v>
      </c>
      <c r="C979" s="19">
        <f t="shared" si="15"/>
        <v>45291</v>
      </c>
      <c r="D979" s="43"/>
      <c r="E979" s="45"/>
    </row>
    <row r="980" spans="1:5" x14ac:dyDescent="0.3">
      <c r="A980" s="54">
        <v>45278</v>
      </c>
      <c r="B980" s="45">
        <v>29989.39</v>
      </c>
      <c r="C980" s="19">
        <f t="shared" si="15"/>
        <v>45291</v>
      </c>
      <c r="D980" s="43"/>
      <c r="E980" s="45"/>
    </row>
    <row r="981" spans="1:5" x14ac:dyDescent="0.3">
      <c r="A981" s="54">
        <v>45279</v>
      </c>
      <c r="B981" s="45">
        <v>30010.85</v>
      </c>
      <c r="C981" s="19">
        <f t="shared" si="15"/>
        <v>45291</v>
      </c>
      <c r="D981" s="43"/>
      <c r="E981" s="45"/>
    </row>
    <row r="982" spans="1:5" x14ac:dyDescent="0.3">
      <c r="A982" s="54">
        <v>45280</v>
      </c>
      <c r="B982" s="45">
        <v>29400.59</v>
      </c>
      <c r="C982" s="19">
        <f t="shared" si="15"/>
        <v>45291</v>
      </c>
      <c r="D982" s="43"/>
      <c r="E982" s="45"/>
    </row>
    <row r="983" spans="1:5" x14ac:dyDescent="0.3">
      <c r="A983" s="54">
        <v>45281</v>
      </c>
      <c r="B983" s="45">
        <v>29654.71</v>
      </c>
      <c r="C983" s="19">
        <f t="shared" si="15"/>
        <v>45291</v>
      </c>
      <c r="D983" s="43"/>
      <c r="E983" s="45"/>
    </row>
    <row r="984" spans="1:5" x14ac:dyDescent="0.3">
      <c r="A984" s="54">
        <v>45282</v>
      </c>
      <c r="B984" s="45">
        <v>29831.49</v>
      </c>
      <c r="C984" s="19">
        <f t="shared" si="15"/>
        <v>45291</v>
      </c>
      <c r="D984" s="43"/>
      <c r="E984" s="45"/>
    </row>
    <row r="985" spans="1:5" x14ac:dyDescent="0.3">
      <c r="A985" s="54">
        <v>45286</v>
      </c>
      <c r="B985" s="45">
        <v>29978.9</v>
      </c>
      <c r="C985" s="19">
        <f t="shared" si="15"/>
        <v>45291</v>
      </c>
      <c r="D985" s="43"/>
      <c r="E985" s="45"/>
    </row>
    <row r="986" spans="1:5" x14ac:dyDescent="0.3">
      <c r="A986" s="54">
        <v>45287</v>
      </c>
      <c r="B986" s="45">
        <v>30210.78</v>
      </c>
      <c r="C986" s="19">
        <f t="shared" si="15"/>
        <v>45291</v>
      </c>
      <c r="D986" s="43"/>
      <c r="E986" s="45"/>
    </row>
    <row r="987" spans="1:5" x14ac:dyDescent="0.3">
      <c r="A987" s="54">
        <v>45288</v>
      </c>
      <c r="B987" s="45">
        <v>30370.94</v>
      </c>
      <c r="C987" s="19">
        <f t="shared" si="15"/>
        <v>45291</v>
      </c>
      <c r="D987" s="43"/>
      <c r="E987" s="45"/>
    </row>
    <row r="988" spans="1:5" x14ac:dyDescent="0.3">
      <c r="A988" s="54">
        <v>45289</v>
      </c>
      <c r="B988" s="45">
        <v>30417.8</v>
      </c>
      <c r="C988" s="19">
        <f t="shared" si="15"/>
        <v>45291</v>
      </c>
      <c r="D988" s="43"/>
      <c r="E988" s="45"/>
    </row>
    <row r="989" spans="1:5" x14ac:dyDescent="0.3">
      <c r="A989" s="54">
        <v>45293</v>
      </c>
      <c r="B989" s="45">
        <v>30400.92</v>
      </c>
      <c r="C989" s="19">
        <f t="shared" si="15"/>
        <v>45322</v>
      </c>
      <c r="D989" s="43"/>
      <c r="E989" s="45"/>
    </row>
    <row r="990" spans="1:5" x14ac:dyDescent="0.3">
      <c r="A990" s="54">
        <v>45294</v>
      </c>
      <c r="B990" s="45">
        <v>30320.7</v>
      </c>
      <c r="C990" s="19">
        <f t="shared" si="15"/>
        <v>45322</v>
      </c>
      <c r="D990" s="43"/>
      <c r="E990" s="45"/>
    </row>
    <row r="991" spans="1:5" x14ac:dyDescent="0.3">
      <c r="A991" s="54">
        <v>45295</v>
      </c>
      <c r="B991" s="45">
        <v>30593.27</v>
      </c>
      <c r="C991" s="19">
        <f t="shared" si="15"/>
        <v>45322</v>
      </c>
      <c r="D991" s="43"/>
      <c r="E991" s="45"/>
    </row>
    <row r="992" spans="1:5" x14ac:dyDescent="0.3">
      <c r="A992" s="54">
        <v>45296</v>
      </c>
      <c r="B992" s="45">
        <v>30670.51</v>
      </c>
      <c r="C992" s="19">
        <f t="shared" si="15"/>
        <v>45322</v>
      </c>
      <c r="D992" s="43"/>
      <c r="E992" s="45"/>
    </row>
    <row r="993" spans="1:5" x14ac:dyDescent="0.3">
      <c r="A993" s="54">
        <v>45299</v>
      </c>
      <c r="B993" s="45">
        <v>30399.86</v>
      </c>
      <c r="C993" s="19">
        <f t="shared" si="15"/>
        <v>45322</v>
      </c>
      <c r="D993" s="43"/>
      <c r="E993" s="45"/>
    </row>
    <row r="994" spans="1:5" x14ac:dyDescent="0.3">
      <c r="A994" s="54">
        <v>45300</v>
      </c>
      <c r="B994" s="45">
        <v>30465.39</v>
      </c>
      <c r="C994" s="19">
        <f t="shared" si="15"/>
        <v>45322</v>
      </c>
      <c r="D994" s="43"/>
      <c r="E994" s="45"/>
    </row>
    <row r="995" spans="1:5" x14ac:dyDescent="0.3">
      <c r="A995" s="54">
        <v>45301</v>
      </c>
      <c r="B995" s="45">
        <v>30556.65</v>
      </c>
      <c r="C995" s="19">
        <f t="shared" si="15"/>
        <v>45322</v>
      </c>
      <c r="D995" s="43"/>
      <c r="E995" s="45"/>
    </row>
    <row r="996" spans="1:5" x14ac:dyDescent="0.3">
      <c r="A996" s="54">
        <v>45302</v>
      </c>
      <c r="B996" s="45">
        <v>30660.78</v>
      </c>
      <c r="C996" s="19">
        <f t="shared" si="15"/>
        <v>45322</v>
      </c>
      <c r="D996" s="43"/>
      <c r="E996" s="45"/>
    </row>
    <row r="997" spans="1:5" x14ac:dyDescent="0.3">
      <c r="A997" s="54">
        <v>45303</v>
      </c>
      <c r="B997" s="45">
        <v>30913.19</v>
      </c>
      <c r="C997" s="19">
        <f t="shared" si="15"/>
        <v>45322</v>
      </c>
      <c r="D997" s="43"/>
      <c r="E997" s="45"/>
    </row>
    <row r="998" spans="1:5" x14ac:dyDescent="0.3">
      <c r="A998" s="54">
        <v>45306</v>
      </c>
      <c r="B998" s="45">
        <v>31132.31</v>
      </c>
      <c r="C998" s="19">
        <f t="shared" si="15"/>
        <v>45322</v>
      </c>
      <c r="D998" s="43"/>
      <c r="E998" s="45"/>
    </row>
    <row r="999" spans="1:5" x14ac:dyDescent="0.3">
      <c r="A999" s="54">
        <v>45307</v>
      </c>
      <c r="B999" s="45">
        <v>31041.51</v>
      </c>
      <c r="C999" s="19">
        <f t="shared" si="15"/>
        <v>45322</v>
      </c>
      <c r="D999" s="43"/>
      <c r="E999" s="45"/>
    </row>
    <row r="1000" spans="1:5" x14ac:dyDescent="0.3">
      <c r="A1000" s="54">
        <v>45308</v>
      </c>
      <c r="B1000" s="45">
        <v>30509.29</v>
      </c>
      <c r="C1000" s="19">
        <f t="shared" si="15"/>
        <v>45322</v>
      </c>
      <c r="D1000" s="43"/>
      <c r="E1000" s="45"/>
    </row>
    <row r="1001" spans="1:5" x14ac:dyDescent="0.3">
      <c r="A1001" s="54">
        <v>45309</v>
      </c>
      <c r="B1001" s="45">
        <v>30395.29</v>
      </c>
      <c r="C1001" s="19">
        <f t="shared" si="15"/>
        <v>45322</v>
      </c>
      <c r="D1001" s="43"/>
      <c r="E1001" s="45"/>
    </row>
    <row r="1002" spans="1:5" x14ac:dyDescent="0.3">
      <c r="A1002" s="54">
        <v>45310</v>
      </c>
      <c r="B1002" s="45">
        <v>30703.17</v>
      </c>
      <c r="C1002" s="19">
        <f t="shared" si="15"/>
        <v>45322</v>
      </c>
      <c r="D1002" s="43"/>
      <c r="E1002" s="45"/>
    </row>
    <row r="1003" spans="1:5" x14ac:dyDescent="0.3">
      <c r="A1003" s="54">
        <v>45311</v>
      </c>
      <c r="B1003" s="45">
        <v>30696.16</v>
      </c>
      <c r="C1003" s="19">
        <f t="shared" si="15"/>
        <v>45322</v>
      </c>
      <c r="D1003" s="43"/>
      <c r="E1003" s="45"/>
    </row>
    <row r="1004" spans="1:5" x14ac:dyDescent="0.3">
      <c r="A1004" s="54">
        <v>45315</v>
      </c>
      <c r="B1004" s="45">
        <v>30460.23</v>
      </c>
      <c r="C1004" s="19">
        <f t="shared" si="15"/>
        <v>45322</v>
      </c>
      <c r="D1004" s="43"/>
      <c r="E1004" s="45"/>
    </row>
    <row r="1005" spans="1:5" x14ac:dyDescent="0.3">
      <c r="A1005" s="54">
        <v>45316</v>
      </c>
      <c r="B1005" s="45">
        <v>30369.59</v>
      </c>
      <c r="C1005" s="19">
        <f t="shared" si="15"/>
        <v>45322</v>
      </c>
      <c r="D1005" s="43"/>
      <c r="E1005" s="45"/>
    </row>
    <row r="1006" spans="1:5" x14ac:dyDescent="0.3">
      <c r="A1006" s="54">
        <v>45320</v>
      </c>
      <c r="B1006" s="45">
        <v>30868.87</v>
      </c>
      <c r="C1006" s="19">
        <f t="shared" si="15"/>
        <v>45322</v>
      </c>
      <c r="D1006" s="43"/>
      <c r="E1006" s="45"/>
    </row>
    <row r="1007" spans="1:5" x14ac:dyDescent="0.3">
      <c r="A1007" s="54">
        <v>45321</v>
      </c>
      <c r="B1007" s="45">
        <v>30654.14</v>
      </c>
      <c r="C1007" s="19">
        <f t="shared" si="15"/>
        <v>45322</v>
      </c>
      <c r="D1007" s="43"/>
      <c r="E1007" s="45"/>
    </row>
    <row r="1008" spans="1:5" x14ac:dyDescent="0.3">
      <c r="A1008" s="54">
        <v>45322</v>
      </c>
      <c r="B1008" s="45">
        <v>31011.17</v>
      </c>
      <c r="C1008" s="19">
        <f t="shared" si="15"/>
        <v>45322</v>
      </c>
      <c r="D1008" s="43"/>
      <c r="E1008" s="45"/>
    </row>
    <row r="1009" spans="1:5" x14ac:dyDescent="0.3">
      <c r="A1009" s="54">
        <v>45323</v>
      </c>
      <c r="B1009" s="45">
        <v>30972.560000000001</v>
      </c>
      <c r="C1009" s="19">
        <f t="shared" si="15"/>
        <v>45351</v>
      </c>
      <c r="D1009" s="43"/>
      <c r="E1009" s="45"/>
    </row>
    <row r="1010" spans="1:5" x14ac:dyDescent="0.3">
      <c r="A1010" s="54">
        <v>45324</v>
      </c>
      <c r="B1010" s="45">
        <v>31181.94</v>
      </c>
      <c r="C1010" s="19">
        <f t="shared" si="15"/>
        <v>45351</v>
      </c>
      <c r="D1010" s="43"/>
      <c r="E1010" s="45"/>
    </row>
    <row r="1011" spans="1:5" x14ac:dyDescent="0.3">
      <c r="A1011" s="54">
        <v>45327</v>
      </c>
      <c r="B1011" s="45">
        <v>31092.89</v>
      </c>
      <c r="C1011" s="19">
        <f t="shared" si="15"/>
        <v>45351</v>
      </c>
      <c r="D1011" s="43"/>
      <c r="E1011" s="45"/>
    </row>
    <row r="1012" spans="1:5" x14ac:dyDescent="0.3">
      <c r="A1012" s="54">
        <v>45328</v>
      </c>
      <c r="B1012" s="45">
        <v>31378.02</v>
      </c>
      <c r="C1012" s="19">
        <f t="shared" si="15"/>
        <v>45351</v>
      </c>
      <c r="D1012" s="43"/>
      <c r="E1012" s="45"/>
    </row>
    <row r="1013" spans="1:5" x14ac:dyDescent="0.3">
      <c r="A1013" s="54">
        <v>45329</v>
      </c>
      <c r="B1013" s="45">
        <v>31497.14</v>
      </c>
      <c r="C1013" s="19">
        <f t="shared" si="15"/>
        <v>45351</v>
      </c>
      <c r="D1013" s="43"/>
      <c r="E1013" s="45"/>
    </row>
    <row r="1014" spans="1:5" x14ac:dyDescent="0.3">
      <c r="A1014" s="54">
        <v>45330</v>
      </c>
      <c r="B1014" s="45">
        <v>31317.58</v>
      </c>
      <c r="C1014" s="19">
        <f t="shared" si="15"/>
        <v>45351</v>
      </c>
      <c r="D1014" s="43"/>
      <c r="E1014" s="45"/>
    </row>
    <row r="1015" spans="1:5" x14ac:dyDescent="0.3">
      <c r="A1015" s="54">
        <v>45331</v>
      </c>
      <c r="B1015" s="45">
        <v>31279.68</v>
      </c>
      <c r="C1015" s="19">
        <f t="shared" si="15"/>
        <v>45351</v>
      </c>
      <c r="D1015" s="43"/>
      <c r="E1015" s="45"/>
    </row>
    <row r="1016" spans="1:5" x14ac:dyDescent="0.3">
      <c r="A1016" s="54">
        <v>45334</v>
      </c>
      <c r="B1016" s="45">
        <v>30831.81</v>
      </c>
      <c r="C1016" s="19">
        <f t="shared" si="15"/>
        <v>45351</v>
      </c>
      <c r="D1016" s="43"/>
      <c r="E1016" s="45"/>
    </row>
    <row r="1017" spans="1:5" x14ac:dyDescent="0.3">
      <c r="A1017" s="54">
        <v>45335</v>
      </c>
      <c r="B1017" s="45">
        <v>31000.76</v>
      </c>
      <c r="C1017" s="19">
        <f t="shared" si="15"/>
        <v>45351</v>
      </c>
      <c r="D1017" s="43"/>
      <c r="E1017" s="45"/>
    </row>
    <row r="1018" spans="1:5" x14ac:dyDescent="0.3">
      <c r="A1018" s="54">
        <v>45336</v>
      </c>
      <c r="B1018" s="45">
        <v>31219.360000000001</v>
      </c>
      <c r="C1018" s="19">
        <f t="shared" si="15"/>
        <v>45351</v>
      </c>
      <c r="D1018" s="43"/>
      <c r="E1018" s="45"/>
    </row>
    <row r="1019" spans="1:5" x14ac:dyDescent="0.3">
      <c r="A1019" s="54">
        <v>45337</v>
      </c>
      <c r="B1019" s="45">
        <v>31403.73</v>
      </c>
      <c r="C1019" s="19">
        <f t="shared" si="15"/>
        <v>45351</v>
      </c>
      <c r="D1019" s="43"/>
      <c r="E1019" s="45"/>
    </row>
    <row r="1020" spans="1:5" x14ac:dyDescent="0.3">
      <c r="A1020" s="54">
        <v>45338</v>
      </c>
      <c r="B1020" s="45">
        <v>31609.27</v>
      </c>
      <c r="C1020" s="19">
        <f t="shared" si="15"/>
        <v>45351</v>
      </c>
      <c r="D1020" s="43"/>
      <c r="E1020" s="45"/>
    </row>
    <row r="1021" spans="1:5" x14ac:dyDescent="0.3">
      <c r="A1021" s="54">
        <v>45341</v>
      </c>
      <c r="B1021" s="45">
        <v>31728.7</v>
      </c>
      <c r="C1021" s="19">
        <f t="shared" si="15"/>
        <v>45351</v>
      </c>
      <c r="D1021" s="43"/>
      <c r="E1021" s="45"/>
    </row>
    <row r="1022" spans="1:5" x14ac:dyDescent="0.3">
      <c r="A1022" s="54">
        <v>45342</v>
      </c>
      <c r="B1022" s="45">
        <v>31781.65</v>
      </c>
      <c r="C1022" s="19">
        <f t="shared" si="15"/>
        <v>45351</v>
      </c>
      <c r="D1022" s="43"/>
      <c r="E1022" s="45"/>
    </row>
    <row r="1023" spans="1:5" x14ac:dyDescent="0.3">
      <c r="A1023" s="54">
        <v>45343</v>
      </c>
      <c r="B1023" s="45">
        <v>31557.54</v>
      </c>
      <c r="C1023" s="19">
        <f t="shared" si="15"/>
        <v>45351</v>
      </c>
      <c r="D1023" s="43"/>
      <c r="E1023" s="45"/>
    </row>
    <row r="1024" spans="1:5" x14ac:dyDescent="0.3">
      <c r="A1024" s="54">
        <v>45344</v>
      </c>
      <c r="B1024" s="45">
        <v>31802.39</v>
      </c>
      <c r="C1024" s="19">
        <f t="shared" si="15"/>
        <v>45351</v>
      </c>
      <c r="D1024" s="43"/>
      <c r="E1024" s="45"/>
    </row>
    <row r="1025" spans="1:5" x14ac:dyDescent="0.3">
      <c r="A1025" s="54">
        <v>45345</v>
      </c>
      <c r="B1025" s="45">
        <v>31849.62</v>
      </c>
      <c r="C1025" s="19">
        <f t="shared" si="15"/>
        <v>45351</v>
      </c>
      <c r="D1025" s="43"/>
      <c r="E1025" s="45"/>
    </row>
    <row r="1026" spans="1:5" x14ac:dyDescent="0.3">
      <c r="A1026" s="54">
        <v>45348</v>
      </c>
      <c r="B1026" s="45">
        <v>31759.23</v>
      </c>
      <c r="C1026" s="19">
        <f t="shared" ref="C1026:C1089" si="16">EOMONTH(A1026,0)</f>
        <v>45351</v>
      </c>
      <c r="D1026" s="43"/>
      <c r="E1026" s="45"/>
    </row>
    <row r="1027" spans="1:5" x14ac:dyDescent="0.3">
      <c r="A1027" s="54">
        <v>45349</v>
      </c>
      <c r="B1027" s="45">
        <v>31817.3</v>
      </c>
      <c r="C1027" s="19">
        <f t="shared" si="16"/>
        <v>45351</v>
      </c>
      <c r="D1027" s="43"/>
      <c r="E1027" s="45"/>
    </row>
    <row r="1028" spans="1:5" x14ac:dyDescent="0.3">
      <c r="A1028" s="54">
        <v>45350</v>
      </c>
      <c r="B1028" s="45">
        <v>31390.09</v>
      </c>
      <c r="C1028" s="19">
        <f t="shared" si="16"/>
        <v>45351</v>
      </c>
      <c r="D1028" s="43"/>
      <c r="E1028" s="45"/>
    </row>
    <row r="1029" spans="1:5" x14ac:dyDescent="0.3">
      <c r="A1029" s="54">
        <v>45351</v>
      </c>
      <c r="B1029" s="45">
        <v>31499.31</v>
      </c>
      <c r="C1029" s="19">
        <f t="shared" si="16"/>
        <v>45351</v>
      </c>
      <c r="D1029" s="43"/>
      <c r="E1029" s="45"/>
    </row>
    <row r="1030" spans="1:5" x14ac:dyDescent="0.3">
      <c r="A1030" s="54">
        <v>45352</v>
      </c>
      <c r="B1030" s="45">
        <v>31906.58</v>
      </c>
      <c r="C1030" s="19">
        <f t="shared" si="16"/>
        <v>45382</v>
      </c>
      <c r="D1030" s="43"/>
      <c r="E1030" s="45"/>
    </row>
    <row r="1031" spans="1:5" x14ac:dyDescent="0.3">
      <c r="A1031" s="54">
        <v>45353</v>
      </c>
      <c r="B1031" s="45">
        <v>32018.73</v>
      </c>
      <c r="C1031" s="19">
        <f t="shared" si="16"/>
        <v>45382</v>
      </c>
      <c r="D1031" s="43"/>
      <c r="E1031" s="45"/>
    </row>
    <row r="1032" spans="1:5" x14ac:dyDescent="0.3">
      <c r="A1032" s="54">
        <v>45355</v>
      </c>
      <c r="B1032" s="45">
        <v>32035.51</v>
      </c>
      <c r="C1032" s="19">
        <f t="shared" si="16"/>
        <v>45382</v>
      </c>
      <c r="D1032" s="43"/>
      <c r="E1032" s="45"/>
    </row>
    <row r="1033" spans="1:5" x14ac:dyDescent="0.3">
      <c r="A1033" s="54">
        <v>45356</v>
      </c>
      <c r="B1033" s="45">
        <v>31957.1</v>
      </c>
      <c r="C1033" s="19">
        <f t="shared" si="16"/>
        <v>45382</v>
      </c>
      <c r="D1033" s="43"/>
      <c r="E1033" s="45"/>
    </row>
    <row r="1034" spans="1:5" x14ac:dyDescent="0.3">
      <c r="A1034" s="54">
        <v>45357</v>
      </c>
      <c r="B1034" s="45">
        <v>31953.91</v>
      </c>
      <c r="C1034" s="19">
        <f t="shared" si="16"/>
        <v>45382</v>
      </c>
      <c r="D1034" s="43"/>
      <c r="E1034" s="45"/>
    </row>
    <row r="1035" spans="1:5" x14ac:dyDescent="0.3">
      <c r="A1035" s="54">
        <v>45358</v>
      </c>
      <c r="B1035" s="45">
        <v>32040.62</v>
      </c>
      <c r="C1035" s="19">
        <f t="shared" si="16"/>
        <v>45382</v>
      </c>
      <c r="D1035" s="43"/>
      <c r="E1035" s="45"/>
    </row>
    <row r="1036" spans="1:5" x14ac:dyDescent="0.3">
      <c r="A1036" s="54">
        <v>45362</v>
      </c>
      <c r="B1036" s="45">
        <v>31811.65</v>
      </c>
      <c r="C1036" s="19">
        <f t="shared" si="16"/>
        <v>45382</v>
      </c>
      <c r="D1036" s="43"/>
      <c r="E1036" s="45"/>
    </row>
    <row r="1037" spans="1:5" x14ac:dyDescent="0.3">
      <c r="A1037" s="54">
        <v>45363</v>
      </c>
      <c r="B1037" s="45">
        <v>31627.67</v>
      </c>
      <c r="C1037" s="19">
        <f t="shared" si="16"/>
        <v>45382</v>
      </c>
      <c r="D1037" s="43"/>
      <c r="E1037" s="45"/>
    </row>
    <row r="1038" spans="1:5" x14ac:dyDescent="0.3">
      <c r="A1038" s="54">
        <v>45364</v>
      </c>
      <c r="B1038" s="45">
        <v>30804.35</v>
      </c>
      <c r="C1038" s="19">
        <f t="shared" si="16"/>
        <v>45382</v>
      </c>
      <c r="D1038" s="43"/>
      <c r="E1038" s="45"/>
    </row>
    <row r="1039" spans="1:5" x14ac:dyDescent="0.3">
      <c r="A1039" s="54">
        <v>45365</v>
      </c>
      <c r="B1039" s="45">
        <v>31227.759999999998</v>
      </c>
      <c r="C1039" s="19">
        <f t="shared" si="16"/>
        <v>45382</v>
      </c>
      <c r="D1039" s="43"/>
      <c r="E1039" s="45"/>
    </row>
    <row r="1040" spans="1:5" x14ac:dyDescent="0.3">
      <c r="A1040" s="54">
        <v>45366</v>
      </c>
      <c r="B1040" s="45">
        <v>31085.07</v>
      </c>
      <c r="C1040" s="19">
        <f t="shared" si="16"/>
        <v>45382</v>
      </c>
      <c r="D1040" s="43"/>
      <c r="E1040" s="45"/>
    </row>
    <row r="1041" spans="1:5" x14ac:dyDescent="0.3">
      <c r="A1041" s="54">
        <v>45367</v>
      </c>
      <c r="B1041" s="45">
        <v>32026.71</v>
      </c>
      <c r="C1041" s="19">
        <f t="shared" si="16"/>
        <v>45382</v>
      </c>
      <c r="D1041" s="43"/>
      <c r="E1041" s="45"/>
    </row>
    <row r="1042" spans="1:5" x14ac:dyDescent="0.3">
      <c r="A1042" s="54">
        <v>45369</v>
      </c>
      <c r="B1042" s="45">
        <v>31113.75</v>
      </c>
      <c r="C1042" s="19">
        <f t="shared" si="16"/>
        <v>45382</v>
      </c>
      <c r="D1042" s="43"/>
      <c r="E1042" s="45"/>
    </row>
    <row r="1043" spans="1:5" x14ac:dyDescent="0.3">
      <c r="A1043" s="54">
        <v>45370</v>
      </c>
      <c r="B1043" s="45">
        <v>30749.48</v>
      </c>
      <c r="C1043" s="19">
        <f t="shared" si="16"/>
        <v>45382</v>
      </c>
      <c r="D1043" s="43"/>
      <c r="E1043" s="45"/>
    </row>
    <row r="1044" spans="1:5" x14ac:dyDescent="0.3">
      <c r="A1044" s="54">
        <v>45371</v>
      </c>
      <c r="B1044" s="45">
        <v>30783.19</v>
      </c>
      <c r="C1044" s="19">
        <f t="shared" si="16"/>
        <v>45382</v>
      </c>
      <c r="D1044" s="43"/>
      <c r="E1044" s="45"/>
    </row>
    <row r="1045" spans="1:5" x14ac:dyDescent="0.3">
      <c r="A1045" s="54">
        <v>45372</v>
      </c>
      <c r="B1045" s="45">
        <v>31199.42</v>
      </c>
      <c r="C1045" s="19">
        <f t="shared" si="16"/>
        <v>45382</v>
      </c>
      <c r="D1045" s="43"/>
      <c r="E1045" s="45"/>
    </row>
    <row r="1046" spans="1:5" x14ac:dyDescent="0.3">
      <c r="A1046" s="54">
        <v>45373</v>
      </c>
      <c r="B1046" s="45">
        <v>31353.21</v>
      </c>
      <c r="C1046" s="19">
        <f t="shared" si="16"/>
        <v>45382</v>
      </c>
      <c r="D1046" s="43"/>
      <c r="E1046" s="45"/>
    </row>
    <row r="1047" spans="1:5" x14ac:dyDescent="0.3">
      <c r="A1047" s="54">
        <v>45378</v>
      </c>
      <c r="B1047" s="45">
        <v>31499.32</v>
      </c>
      <c r="C1047" s="19">
        <f t="shared" si="16"/>
        <v>45382</v>
      </c>
      <c r="D1047" s="43"/>
      <c r="E1047" s="45"/>
    </row>
    <row r="1048" spans="1:5" x14ac:dyDescent="0.3">
      <c r="A1048" s="54">
        <v>45384</v>
      </c>
      <c r="B1048" s="45">
        <v>32256.66</v>
      </c>
      <c r="C1048" s="19">
        <f t="shared" si="16"/>
        <v>45412</v>
      </c>
      <c r="D1048" s="43"/>
      <c r="E1048" s="45"/>
    </row>
    <row r="1049" spans="1:5" x14ac:dyDescent="0.3">
      <c r="A1049" s="54">
        <v>45385</v>
      </c>
      <c r="B1049" s="45">
        <v>32313.03</v>
      </c>
      <c r="C1049" s="19">
        <f t="shared" si="16"/>
        <v>45412</v>
      </c>
      <c r="D1049" s="43"/>
      <c r="E1049" s="45"/>
    </row>
    <row r="1050" spans="1:5" x14ac:dyDescent="0.3">
      <c r="A1050" s="54">
        <v>45386</v>
      </c>
      <c r="B1050" s="45">
        <v>32405.59</v>
      </c>
      <c r="C1050" s="19">
        <f t="shared" si="16"/>
        <v>45412</v>
      </c>
      <c r="D1050" s="43"/>
      <c r="E1050" s="45"/>
    </row>
    <row r="1051" spans="1:5" x14ac:dyDescent="0.3">
      <c r="A1051" s="54">
        <v>45387</v>
      </c>
      <c r="B1051" s="45">
        <v>32484.71</v>
      </c>
      <c r="C1051" s="19">
        <f t="shared" si="16"/>
        <v>45412</v>
      </c>
      <c r="D1051" s="43"/>
      <c r="E1051" s="45"/>
    </row>
    <row r="1052" spans="1:5" x14ac:dyDescent="0.3">
      <c r="A1052" s="54">
        <v>45390</v>
      </c>
      <c r="B1052" s="45">
        <v>32647.88</v>
      </c>
      <c r="C1052" s="19">
        <f t="shared" si="16"/>
        <v>45412</v>
      </c>
      <c r="D1052" s="43"/>
      <c r="E1052" s="45"/>
    </row>
    <row r="1053" spans="1:5" x14ac:dyDescent="0.3">
      <c r="A1053" s="54">
        <v>45391</v>
      </c>
      <c r="B1053" s="45">
        <v>32603.32</v>
      </c>
      <c r="C1053" s="19">
        <f t="shared" si="16"/>
        <v>45412</v>
      </c>
      <c r="D1053" s="43"/>
      <c r="E1053" s="45"/>
    </row>
    <row r="1054" spans="1:5" x14ac:dyDescent="0.3">
      <c r="A1054" s="54">
        <v>45392</v>
      </c>
      <c r="B1054" s="45">
        <v>32798.550000000003</v>
      </c>
      <c r="C1054" s="19">
        <f t="shared" si="16"/>
        <v>45412</v>
      </c>
      <c r="D1054" s="43"/>
      <c r="E1054" s="45"/>
    </row>
    <row r="1055" spans="1:5" x14ac:dyDescent="0.3">
      <c r="A1055" s="54">
        <v>45394</v>
      </c>
      <c r="B1055" s="45">
        <v>32532.43</v>
      </c>
      <c r="C1055" s="19">
        <f t="shared" si="16"/>
        <v>45412</v>
      </c>
      <c r="D1055" s="43"/>
      <c r="E1055" s="45"/>
    </row>
    <row r="1056" spans="1:5" x14ac:dyDescent="0.3">
      <c r="A1056" s="54">
        <v>45397</v>
      </c>
      <c r="B1056" s="45">
        <v>32114.13</v>
      </c>
      <c r="C1056" s="19">
        <f t="shared" si="16"/>
        <v>45412</v>
      </c>
      <c r="D1056" s="43"/>
      <c r="E1056" s="45"/>
    </row>
    <row r="1057" spans="1:5" x14ac:dyDescent="0.3">
      <c r="A1057" s="54">
        <v>45398</v>
      </c>
      <c r="B1057" s="45">
        <v>32026.71</v>
      </c>
      <c r="C1057" s="19">
        <f t="shared" si="16"/>
        <v>45412</v>
      </c>
      <c r="D1057" s="43"/>
      <c r="E1057" s="45"/>
    </row>
    <row r="1058" spans="1:5" x14ac:dyDescent="0.3">
      <c r="A1058" s="54">
        <v>45400</v>
      </c>
      <c r="B1058" s="45">
        <v>31872.54</v>
      </c>
      <c r="C1058" s="19">
        <f t="shared" si="16"/>
        <v>45412</v>
      </c>
      <c r="D1058" s="43"/>
      <c r="E1058" s="45"/>
    </row>
    <row r="1059" spans="1:5" x14ac:dyDescent="0.3">
      <c r="A1059" s="54">
        <v>45401</v>
      </c>
      <c r="B1059" s="45">
        <v>31967.61</v>
      </c>
      <c r="C1059" s="19">
        <f t="shared" si="16"/>
        <v>45412</v>
      </c>
      <c r="D1059" s="43"/>
      <c r="E1059" s="45"/>
    </row>
    <row r="1060" spans="1:5" x14ac:dyDescent="0.3">
      <c r="A1060" s="54">
        <v>45404</v>
      </c>
      <c r="B1060" s="45">
        <v>32265.09</v>
      </c>
      <c r="C1060" s="19">
        <f t="shared" si="16"/>
        <v>45412</v>
      </c>
      <c r="D1060" s="43"/>
      <c r="E1060" s="45"/>
    </row>
    <row r="1061" spans="1:5" x14ac:dyDescent="0.3">
      <c r="A1061" s="54">
        <v>45405</v>
      </c>
      <c r="B1061" s="45">
        <v>32387.08</v>
      </c>
      <c r="C1061" s="19">
        <f t="shared" si="16"/>
        <v>45412</v>
      </c>
      <c r="D1061" s="43"/>
      <c r="E1061" s="45"/>
    </row>
    <row r="1062" spans="1:5" x14ac:dyDescent="0.3">
      <c r="A1062" s="54">
        <v>45406</v>
      </c>
      <c r="B1062" s="45">
        <v>32509.43</v>
      </c>
      <c r="C1062" s="19">
        <f t="shared" si="16"/>
        <v>45412</v>
      </c>
      <c r="D1062" s="43"/>
      <c r="E1062" s="45"/>
    </row>
    <row r="1063" spans="1:5" x14ac:dyDescent="0.3">
      <c r="A1063" s="54">
        <v>45407</v>
      </c>
      <c r="B1063" s="45">
        <v>32724.61</v>
      </c>
      <c r="C1063" s="19">
        <f t="shared" si="16"/>
        <v>45412</v>
      </c>
      <c r="D1063" s="43"/>
      <c r="E1063" s="45"/>
    </row>
    <row r="1064" spans="1:5" x14ac:dyDescent="0.3">
      <c r="A1064" s="54">
        <v>45408</v>
      </c>
      <c r="B1064" s="45">
        <v>32919.57</v>
      </c>
      <c r="C1064" s="19">
        <f t="shared" si="16"/>
        <v>45412</v>
      </c>
      <c r="D1064" s="43"/>
      <c r="E1064" s="45"/>
    </row>
    <row r="1065" spans="1:5" x14ac:dyDescent="0.3">
      <c r="A1065" s="54">
        <v>45412</v>
      </c>
      <c r="B1065" s="45">
        <v>32927.379999999997</v>
      </c>
      <c r="C1065" s="19">
        <f t="shared" si="16"/>
        <v>45412</v>
      </c>
      <c r="D1065" s="43"/>
      <c r="E1065" s="45"/>
    </row>
    <row r="1066" spans="1:5" x14ac:dyDescent="0.3">
      <c r="A1066" s="54">
        <v>45414</v>
      </c>
      <c r="B1066" s="45">
        <v>33063</v>
      </c>
      <c r="C1066" s="19">
        <f t="shared" si="16"/>
        <v>45443</v>
      </c>
      <c r="D1066" s="43"/>
      <c r="E1066" s="45"/>
    </row>
    <row r="1067" spans="1:5" x14ac:dyDescent="0.3">
      <c r="A1067" s="54">
        <v>45415</v>
      </c>
      <c r="B1067" s="45">
        <v>32868.94</v>
      </c>
      <c r="C1067" s="19">
        <f t="shared" si="16"/>
        <v>45443</v>
      </c>
      <c r="D1067" s="43"/>
      <c r="E1067" s="45"/>
    </row>
    <row r="1068" spans="1:5" x14ac:dyDescent="0.3">
      <c r="A1068" s="54">
        <v>45419</v>
      </c>
      <c r="B1068" s="45">
        <v>32365.34</v>
      </c>
      <c r="C1068" s="19">
        <f t="shared" si="16"/>
        <v>45443</v>
      </c>
      <c r="D1068" s="43"/>
      <c r="E1068" s="45"/>
    </row>
    <row r="1069" spans="1:5" x14ac:dyDescent="0.3">
      <c r="A1069" s="54">
        <v>45420</v>
      </c>
      <c r="B1069" s="45">
        <v>32473.360000000001</v>
      </c>
      <c r="C1069" s="19">
        <f t="shared" si="16"/>
        <v>45443</v>
      </c>
      <c r="D1069" s="43"/>
      <c r="E1069" s="45"/>
    </row>
    <row r="1070" spans="1:5" x14ac:dyDescent="0.3">
      <c r="A1070" s="54">
        <v>45421</v>
      </c>
      <c r="B1070" s="45">
        <v>31908.53</v>
      </c>
      <c r="C1070" s="19">
        <f t="shared" si="16"/>
        <v>45443</v>
      </c>
      <c r="D1070" s="43"/>
      <c r="E1070" s="45"/>
    </row>
    <row r="1071" spans="1:5" x14ac:dyDescent="0.3">
      <c r="A1071" s="54">
        <v>45425</v>
      </c>
      <c r="B1071" s="45">
        <v>32197.97</v>
      </c>
      <c r="C1071" s="19">
        <f t="shared" si="16"/>
        <v>45443</v>
      </c>
      <c r="D1071" s="43"/>
      <c r="E1071" s="45"/>
    </row>
    <row r="1072" spans="1:5" x14ac:dyDescent="0.3">
      <c r="A1072" s="54">
        <v>45426</v>
      </c>
      <c r="B1072" s="45">
        <v>32469.95</v>
      </c>
      <c r="C1072" s="19">
        <f t="shared" si="16"/>
        <v>45443</v>
      </c>
      <c r="D1072" s="43"/>
      <c r="E1072" s="45"/>
    </row>
    <row r="1073" spans="1:5" x14ac:dyDescent="0.3">
      <c r="A1073" s="54">
        <v>45428</v>
      </c>
      <c r="B1073" s="45">
        <v>32860.879999999997</v>
      </c>
      <c r="C1073" s="19">
        <f t="shared" si="16"/>
        <v>45443</v>
      </c>
      <c r="D1073" s="43"/>
      <c r="E1073" s="45"/>
    </row>
    <row r="1074" spans="1:5" x14ac:dyDescent="0.3">
      <c r="A1074" s="54">
        <v>45429</v>
      </c>
      <c r="B1074" s="45">
        <v>33073.629999999997</v>
      </c>
      <c r="C1074" s="19">
        <f t="shared" si="16"/>
        <v>45443</v>
      </c>
      <c r="D1074" s="43"/>
      <c r="E1074" s="45"/>
    </row>
    <row r="1075" spans="1:5" x14ac:dyDescent="0.3">
      <c r="A1075" s="54">
        <v>45430</v>
      </c>
      <c r="B1075" s="45">
        <v>33199.1</v>
      </c>
      <c r="C1075" s="19">
        <f t="shared" si="16"/>
        <v>45443</v>
      </c>
      <c r="D1075" s="43"/>
      <c r="E1075" s="45"/>
    </row>
    <row r="1076" spans="1:5" x14ac:dyDescent="0.3">
      <c r="A1076" s="54">
        <v>45433</v>
      </c>
      <c r="B1076" s="45">
        <v>33266.910000000003</v>
      </c>
      <c r="C1076" s="19">
        <f t="shared" si="16"/>
        <v>45443</v>
      </c>
      <c r="D1076" s="43"/>
      <c r="E1076" s="45"/>
    </row>
    <row r="1077" spans="1:5" x14ac:dyDescent="0.3">
      <c r="A1077" s="54">
        <v>45434</v>
      </c>
      <c r="B1077" s="45">
        <v>33357.18</v>
      </c>
      <c r="C1077" s="19">
        <f t="shared" si="16"/>
        <v>45443</v>
      </c>
      <c r="D1077" s="43"/>
      <c r="E1077" s="45"/>
    </row>
    <row r="1078" spans="1:5" x14ac:dyDescent="0.3">
      <c r="A1078" s="54">
        <v>45435</v>
      </c>
      <c r="B1078" s="45">
        <v>33752.67</v>
      </c>
      <c r="C1078" s="19">
        <f t="shared" si="16"/>
        <v>45443</v>
      </c>
      <c r="D1078" s="43"/>
      <c r="E1078" s="45"/>
    </row>
    <row r="1079" spans="1:5" x14ac:dyDescent="0.3">
      <c r="A1079" s="54">
        <v>45436</v>
      </c>
      <c r="B1079" s="45">
        <v>33744.480000000003</v>
      </c>
      <c r="C1079" s="19">
        <f t="shared" si="16"/>
        <v>45443</v>
      </c>
      <c r="D1079" s="43"/>
      <c r="E1079" s="45"/>
    </row>
    <row r="1080" spans="1:5" x14ac:dyDescent="0.3">
      <c r="A1080" s="54">
        <v>45439</v>
      </c>
      <c r="B1080" s="45">
        <v>33759.03</v>
      </c>
      <c r="C1080" s="19">
        <f t="shared" si="16"/>
        <v>45443</v>
      </c>
      <c r="D1080" s="43"/>
      <c r="E1080" s="45"/>
    </row>
    <row r="1081" spans="1:5" x14ac:dyDescent="0.3">
      <c r="A1081" s="54">
        <v>45440</v>
      </c>
      <c r="B1081" s="45">
        <v>33593.17</v>
      </c>
      <c r="C1081" s="19">
        <f t="shared" si="16"/>
        <v>45443</v>
      </c>
      <c r="D1081" s="43"/>
      <c r="E1081" s="45"/>
    </row>
    <row r="1082" spans="1:5" x14ac:dyDescent="0.3">
      <c r="A1082" s="54">
        <v>45441</v>
      </c>
      <c r="B1082" s="45">
        <v>33387.370000000003</v>
      </c>
      <c r="C1082" s="19">
        <f t="shared" si="16"/>
        <v>45443</v>
      </c>
      <c r="D1082" s="43"/>
      <c r="E1082" s="45"/>
    </row>
    <row r="1083" spans="1:5" x14ac:dyDescent="0.3">
      <c r="A1083" s="54">
        <v>45442</v>
      </c>
      <c r="B1083" s="45">
        <v>33045.31</v>
      </c>
      <c r="C1083" s="19">
        <f t="shared" si="16"/>
        <v>45443</v>
      </c>
      <c r="D1083" s="43"/>
      <c r="E1083" s="45"/>
    </row>
    <row r="1084" spans="1:5" x14ac:dyDescent="0.3">
      <c r="A1084" s="54">
        <v>45443</v>
      </c>
      <c r="B1084" s="45">
        <v>33168.199999999997</v>
      </c>
      <c r="C1084" s="19">
        <f t="shared" si="16"/>
        <v>45443</v>
      </c>
      <c r="D1084" s="43"/>
      <c r="E1084" s="45"/>
    </row>
    <row r="1085" spans="1:5" x14ac:dyDescent="0.3">
      <c r="A1085" s="54">
        <v>45447</v>
      </c>
      <c r="B1085" s="45">
        <v>31956.22</v>
      </c>
      <c r="C1085" s="19">
        <f t="shared" si="16"/>
        <v>45473</v>
      </c>
      <c r="D1085" s="43"/>
      <c r="E1085" s="45"/>
    </row>
    <row r="1086" spans="1:5" x14ac:dyDescent="0.3">
      <c r="A1086" s="54">
        <v>45448</v>
      </c>
      <c r="B1086" s="45">
        <v>33104.99</v>
      </c>
      <c r="C1086" s="19">
        <f t="shared" si="16"/>
        <v>45473</v>
      </c>
      <c r="D1086" s="43"/>
      <c r="E1086" s="45"/>
    </row>
    <row r="1087" spans="1:5" x14ac:dyDescent="0.3">
      <c r="A1087" s="54">
        <v>45449</v>
      </c>
      <c r="B1087" s="45">
        <v>33104.99</v>
      </c>
      <c r="C1087" s="19">
        <f t="shared" si="16"/>
        <v>45473</v>
      </c>
      <c r="D1087" s="43"/>
      <c r="E1087" s="45"/>
    </row>
    <row r="1088" spans="1:5" x14ac:dyDescent="0.3">
      <c r="A1088" s="54">
        <v>45450</v>
      </c>
      <c r="B1088" s="45">
        <v>34221.81</v>
      </c>
      <c r="C1088" s="19">
        <f t="shared" si="16"/>
        <v>45473</v>
      </c>
      <c r="D1088" s="43"/>
      <c r="E1088" s="45"/>
    </row>
    <row r="1089" spans="1:5" x14ac:dyDescent="0.3">
      <c r="A1089" s="54">
        <v>45453</v>
      </c>
      <c r="B1089" s="45">
        <v>34291.15</v>
      </c>
      <c r="C1089" s="19">
        <f t="shared" si="16"/>
        <v>45473</v>
      </c>
      <c r="D1089" s="43"/>
      <c r="E1089" s="45"/>
    </row>
    <row r="1090" spans="1:5" x14ac:dyDescent="0.3">
      <c r="A1090" s="54">
        <v>45455</v>
      </c>
      <c r="B1090" s="45">
        <v>34536.949999999997</v>
      </c>
      <c r="C1090" s="19">
        <f t="shared" ref="C1090:C1153" si="17">EOMONTH(A1090,0)</f>
        <v>45473</v>
      </c>
      <c r="D1090" s="43"/>
      <c r="E1090" s="45"/>
    </row>
    <row r="1091" spans="1:5" x14ac:dyDescent="0.3">
      <c r="A1091" s="54">
        <v>45456</v>
      </c>
      <c r="B1091" s="45">
        <v>34715.589999999997</v>
      </c>
      <c r="C1091" s="19">
        <f t="shared" si="17"/>
        <v>45473</v>
      </c>
      <c r="D1091" s="43"/>
      <c r="E1091" s="45"/>
    </row>
    <row r="1092" spans="1:5" x14ac:dyDescent="0.3">
      <c r="A1092" s="54">
        <v>45457</v>
      </c>
      <c r="B1092" s="45">
        <v>34943.919999999998</v>
      </c>
      <c r="C1092" s="19">
        <f t="shared" si="17"/>
        <v>45473</v>
      </c>
      <c r="D1092" s="43"/>
      <c r="E1092" s="45"/>
    </row>
    <row r="1093" spans="1:5" x14ac:dyDescent="0.3">
      <c r="A1093" s="54">
        <v>45461</v>
      </c>
      <c r="B1093" s="45">
        <v>35127.1</v>
      </c>
      <c r="C1093" s="19">
        <f t="shared" si="17"/>
        <v>45473</v>
      </c>
      <c r="D1093" s="43"/>
      <c r="E1093" s="45"/>
    </row>
    <row r="1094" spans="1:5" x14ac:dyDescent="0.3">
      <c r="A1094" s="54">
        <v>45462</v>
      </c>
      <c r="B1094" s="45">
        <v>34963.410000000003</v>
      </c>
      <c r="C1094" s="19">
        <f t="shared" si="17"/>
        <v>45473</v>
      </c>
      <c r="D1094" s="43"/>
      <c r="E1094" s="45"/>
    </row>
    <row r="1095" spans="1:5" x14ac:dyDescent="0.3">
      <c r="A1095" s="54">
        <v>45463</v>
      </c>
      <c r="B1095" s="45">
        <v>35096.03</v>
      </c>
      <c r="C1095" s="19">
        <f t="shared" si="17"/>
        <v>45473</v>
      </c>
      <c r="D1095" s="43"/>
      <c r="E1095" s="45"/>
    </row>
    <row r="1096" spans="1:5" x14ac:dyDescent="0.3">
      <c r="A1096" s="54">
        <v>45464</v>
      </c>
      <c r="B1096" s="45">
        <v>34991.85</v>
      </c>
      <c r="C1096" s="19">
        <f t="shared" si="17"/>
        <v>45473</v>
      </c>
      <c r="D1096" s="43"/>
      <c r="E1096" s="45"/>
    </row>
    <row r="1097" spans="1:5" x14ac:dyDescent="0.3">
      <c r="A1097" s="54">
        <v>45467</v>
      </c>
      <c r="B1097" s="45">
        <v>35075.14</v>
      </c>
      <c r="C1097" s="19">
        <f t="shared" si="17"/>
        <v>45473</v>
      </c>
      <c r="D1097" s="43"/>
      <c r="E1097" s="45"/>
    </row>
    <row r="1098" spans="1:5" x14ac:dyDescent="0.3">
      <c r="A1098" s="54">
        <v>45468</v>
      </c>
      <c r="B1098" s="45">
        <v>35204.26</v>
      </c>
      <c r="C1098" s="19">
        <f t="shared" si="17"/>
        <v>45473</v>
      </c>
      <c r="D1098" s="43"/>
      <c r="E1098" s="45"/>
    </row>
    <row r="1099" spans="1:5" x14ac:dyDescent="0.3">
      <c r="A1099" s="54">
        <v>45469</v>
      </c>
      <c r="B1099" s="45">
        <v>35308.410000000003</v>
      </c>
      <c r="C1099" s="19">
        <f t="shared" si="17"/>
        <v>45473</v>
      </c>
      <c r="D1099" s="43"/>
      <c r="E1099" s="45"/>
    </row>
    <row r="1100" spans="1:5" x14ac:dyDescent="0.3">
      <c r="A1100" s="54">
        <v>45471</v>
      </c>
      <c r="B1100" s="45">
        <v>35506.97</v>
      </c>
      <c r="C1100" s="19">
        <f t="shared" si="17"/>
        <v>45473</v>
      </c>
      <c r="D1100" s="43"/>
      <c r="E1100" s="45"/>
    </row>
    <row r="1101" spans="1:5" x14ac:dyDescent="0.3">
      <c r="A1101" s="54">
        <v>45474</v>
      </c>
      <c r="B1101" s="45">
        <v>35771.61</v>
      </c>
      <c r="C1101" s="19">
        <f t="shared" si="17"/>
        <v>45504</v>
      </c>
      <c r="D1101" s="43"/>
      <c r="E1101" s="45"/>
    </row>
    <row r="1102" spans="1:5" x14ac:dyDescent="0.3">
      <c r="A1102" s="54">
        <v>45475</v>
      </c>
      <c r="B1102" s="45">
        <v>35693.160000000003</v>
      </c>
      <c r="C1102" s="19">
        <f t="shared" si="17"/>
        <v>45504</v>
      </c>
      <c r="D1102" s="43"/>
      <c r="E1102" s="45"/>
    </row>
    <row r="1103" spans="1:5" x14ac:dyDescent="0.3">
      <c r="A1103" s="54">
        <v>45478</v>
      </c>
      <c r="B1103" s="45">
        <v>36187.040000000001</v>
      </c>
      <c r="C1103" s="19">
        <f t="shared" si="17"/>
        <v>45504</v>
      </c>
      <c r="D1103" s="43"/>
      <c r="E1103" s="45"/>
    </row>
    <row r="1104" spans="1:5" x14ac:dyDescent="0.3">
      <c r="A1104" s="54">
        <v>45481</v>
      </c>
      <c r="B1104" s="45">
        <v>36161.199999999997</v>
      </c>
      <c r="C1104" s="19">
        <f t="shared" si="17"/>
        <v>45504</v>
      </c>
      <c r="D1104" s="43"/>
      <c r="E1104" s="45"/>
    </row>
    <row r="1105" spans="1:5" x14ac:dyDescent="0.3">
      <c r="A1105" s="54">
        <v>45482</v>
      </c>
      <c r="B1105" s="45">
        <v>36314.78</v>
      </c>
      <c r="C1105" s="19">
        <f t="shared" si="17"/>
        <v>45504</v>
      </c>
      <c r="D1105" s="43"/>
      <c r="E1105" s="45"/>
    </row>
    <row r="1106" spans="1:5" x14ac:dyDescent="0.3">
      <c r="A1106" s="54">
        <v>45483</v>
      </c>
      <c r="B1106" s="45">
        <v>36173.97</v>
      </c>
      <c r="C1106" s="19">
        <f t="shared" si="17"/>
        <v>45504</v>
      </c>
      <c r="D1106" s="43"/>
      <c r="E1106" s="45"/>
    </row>
    <row r="1107" spans="1:5" x14ac:dyDescent="0.3">
      <c r="A1107" s="54">
        <v>45484</v>
      </c>
      <c r="B1107" s="45">
        <v>36217.5</v>
      </c>
      <c r="C1107" s="19">
        <f t="shared" si="17"/>
        <v>45504</v>
      </c>
      <c r="D1107" s="43"/>
      <c r="E1107" s="45"/>
    </row>
    <row r="1108" spans="1:5" x14ac:dyDescent="0.3">
      <c r="A1108" s="54">
        <v>45485</v>
      </c>
      <c r="B1108" s="45">
        <v>36362.300000000003</v>
      </c>
      <c r="C1108" s="19">
        <f t="shared" si="17"/>
        <v>45504</v>
      </c>
      <c r="D1108" s="43"/>
      <c r="E1108" s="45"/>
    </row>
    <row r="1109" spans="1:5" x14ac:dyDescent="0.3">
      <c r="A1109" s="54">
        <v>45488</v>
      </c>
      <c r="B1109" s="45">
        <v>36542.559999999998</v>
      </c>
      <c r="C1109" s="19">
        <f t="shared" si="17"/>
        <v>45504</v>
      </c>
      <c r="D1109" s="43"/>
      <c r="E1109" s="45"/>
    </row>
    <row r="1110" spans="1:5" x14ac:dyDescent="0.3">
      <c r="A1110" s="54">
        <v>45489</v>
      </c>
      <c r="B1110" s="45">
        <v>36536.660000000003</v>
      </c>
      <c r="C1110" s="19">
        <f t="shared" si="17"/>
        <v>45504</v>
      </c>
      <c r="D1110" s="43"/>
      <c r="E1110" s="45"/>
    </row>
    <row r="1111" spans="1:5" x14ac:dyDescent="0.3">
      <c r="A1111" s="54">
        <v>45491</v>
      </c>
      <c r="B1111" s="45">
        <v>36546.199999999997</v>
      </c>
      <c r="C1111" s="19">
        <f t="shared" si="17"/>
        <v>45504</v>
      </c>
      <c r="D1111" s="43"/>
      <c r="E1111" s="45"/>
    </row>
    <row r="1112" spans="1:5" x14ac:dyDescent="0.3">
      <c r="A1112" s="54">
        <v>45492</v>
      </c>
      <c r="B1112" s="45">
        <v>35989.82</v>
      </c>
      <c r="C1112" s="19">
        <f t="shared" si="17"/>
        <v>45504</v>
      </c>
      <c r="D1112" s="43"/>
      <c r="E1112" s="45"/>
    </row>
    <row r="1113" spans="1:5" x14ac:dyDescent="0.3">
      <c r="A1113" s="54">
        <v>45495</v>
      </c>
      <c r="B1113" s="45">
        <v>36130.29</v>
      </c>
      <c r="C1113" s="19">
        <f t="shared" si="17"/>
        <v>45504</v>
      </c>
      <c r="D1113" s="43"/>
      <c r="E1113" s="45"/>
    </row>
    <row r="1114" spans="1:5" x14ac:dyDescent="0.3">
      <c r="A1114" s="54">
        <v>45496</v>
      </c>
      <c r="B1114" s="45">
        <v>36011.83</v>
      </c>
      <c r="C1114" s="19">
        <f t="shared" si="17"/>
        <v>45504</v>
      </c>
      <c r="D1114" s="43"/>
      <c r="E1114" s="45"/>
    </row>
    <row r="1115" spans="1:5" x14ac:dyDescent="0.3">
      <c r="A1115" s="54">
        <v>45497</v>
      </c>
      <c r="B1115" s="45">
        <v>36101.160000000003</v>
      </c>
      <c r="C1115" s="19">
        <f t="shared" si="17"/>
        <v>45504</v>
      </c>
      <c r="D1115" s="43"/>
      <c r="E1115" s="45"/>
    </row>
    <row r="1116" spans="1:5" x14ac:dyDescent="0.3">
      <c r="A1116" s="54">
        <v>45498</v>
      </c>
      <c r="B1116" s="45">
        <v>36094.83</v>
      </c>
      <c r="C1116" s="19">
        <f t="shared" si="17"/>
        <v>45504</v>
      </c>
      <c r="D1116" s="43"/>
      <c r="E1116" s="45"/>
    </row>
    <row r="1117" spans="1:5" x14ac:dyDescent="0.3">
      <c r="A1117" s="54">
        <v>45499</v>
      </c>
      <c r="B1117" s="45">
        <v>36686.769999999997</v>
      </c>
      <c r="C1117" s="19">
        <f t="shared" si="17"/>
        <v>45504</v>
      </c>
      <c r="D1117" s="43"/>
      <c r="E1117" s="45"/>
    </row>
    <row r="1118" spans="1:5" x14ac:dyDescent="0.3">
      <c r="A1118" s="54">
        <v>45502</v>
      </c>
      <c r="B1118" s="45">
        <v>36848.019999999997</v>
      </c>
      <c r="C1118" s="19">
        <f t="shared" si="17"/>
        <v>45504</v>
      </c>
      <c r="D1118" s="43"/>
      <c r="E1118" s="45"/>
    </row>
    <row r="1119" spans="1:5" x14ac:dyDescent="0.3">
      <c r="A1119" s="54">
        <v>45503</v>
      </c>
      <c r="B1119" s="45">
        <v>36923.230000000003</v>
      </c>
      <c r="C1119" s="19">
        <f t="shared" si="17"/>
        <v>45504</v>
      </c>
      <c r="D1119" s="43"/>
      <c r="E1119" s="45"/>
    </row>
    <row r="1120" spans="1:5" x14ac:dyDescent="0.3">
      <c r="A1120" s="54">
        <v>45504</v>
      </c>
      <c r="B1120" s="45">
        <v>37066.080000000002</v>
      </c>
      <c r="C1120" s="19">
        <f t="shared" si="17"/>
        <v>45504</v>
      </c>
      <c r="D1120" s="43"/>
      <c r="E1120" s="45"/>
    </row>
    <row r="1121" spans="1:5" x14ac:dyDescent="0.3">
      <c r="A1121" s="54">
        <v>45505</v>
      </c>
      <c r="B1121" s="45">
        <v>37029.53</v>
      </c>
      <c r="C1121" s="19">
        <f t="shared" si="17"/>
        <v>45535</v>
      </c>
      <c r="D1121" s="43"/>
      <c r="E1121" s="45"/>
    </row>
    <row r="1122" spans="1:5" x14ac:dyDescent="0.3">
      <c r="A1122" s="54">
        <v>45506</v>
      </c>
      <c r="B1122" s="45">
        <v>36647.21</v>
      </c>
      <c r="C1122" s="19">
        <f t="shared" si="17"/>
        <v>45535</v>
      </c>
      <c r="D1122" s="43"/>
      <c r="E1122" s="45"/>
    </row>
    <row r="1123" spans="1:5" x14ac:dyDescent="0.3">
      <c r="A1123" s="54">
        <v>45509</v>
      </c>
      <c r="B1123" s="45">
        <v>35519.5</v>
      </c>
      <c r="C1123" s="19">
        <f t="shared" si="17"/>
        <v>45535</v>
      </c>
      <c r="D1123" s="43"/>
      <c r="E1123" s="45"/>
    </row>
    <row r="1124" spans="1:5" x14ac:dyDescent="0.3">
      <c r="A1124" s="54">
        <v>45510</v>
      </c>
      <c r="B1124" s="45">
        <v>35364.14</v>
      </c>
      <c r="C1124" s="19">
        <f t="shared" si="17"/>
        <v>45535</v>
      </c>
      <c r="D1124" s="43"/>
      <c r="E1124" s="45"/>
    </row>
    <row r="1125" spans="1:5" x14ac:dyDescent="0.3">
      <c r="A1125" s="54">
        <v>45511</v>
      </c>
      <c r="B1125" s="45">
        <v>36012.32</v>
      </c>
      <c r="C1125" s="19">
        <f t="shared" si="17"/>
        <v>45535</v>
      </c>
      <c r="D1125" s="43"/>
      <c r="E1125" s="45"/>
    </row>
    <row r="1126" spans="1:5" x14ac:dyDescent="0.3">
      <c r="A1126" s="54">
        <v>45512</v>
      </c>
      <c r="B1126" s="45">
        <v>35786.639999999999</v>
      </c>
      <c r="C1126" s="19">
        <f t="shared" si="17"/>
        <v>45535</v>
      </c>
      <c r="D1126" s="43"/>
      <c r="E1126" s="45"/>
    </row>
    <row r="1127" spans="1:5" x14ac:dyDescent="0.3">
      <c r="A1127" s="54">
        <v>45513</v>
      </c>
      <c r="B1127" s="45">
        <v>36133.360000000001</v>
      </c>
      <c r="C1127" s="19">
        <f t="shared" si="17"/>
        <v>45535</v>
      </c>
      <c r="D1127" s="43"/>
      <c r="E1127" s="45"/>
    </row>
    <row r="1128" spans="1:5" x14ac:dyDescent="0.3">
      <c r="A1128" s="54">
        <v>45516</v>
      </c>
      <c r="B1128" s="45">
        <v>36135.49</v>
      </c>
      <c r="C1128" s="19">
        <f t="shared" si="17"/>
        <v>45535</v>
      </c>
      <c r="D1128" s="43"/>
      <c r="E1128" s="45"/>
    </row>
    <row r="1129" spans="1:5" x14ac:dyDescent="0.3">
      <c r="A1129" s="54">
        <v>45517</v>
      </c>
      <c r="B1129" s="45">
        <v>35804.660000000003</v>
      </c>
      <c r="C1129" s="19">
        <f t="shared" si="17"/>
        <v>45535</v>
      </c>
      <c r="D1129" s="43"/>
      <c r="E1129" s="45"/>
    </row>
    <row r="1130" spans="1:5" x14ac:dyDescent="0.3">
      <c r="A1130" s="54">
        <v>45518</v>
      </c>
      <c r="B1130" s="45">
        <v>35754.300000000003</v>
      </c>
      <c r="C1130" s="19">
        <f t="shared" si="17"/>
        <v>45535</v>
      </c>
      <c r="D1130" s="43"/>
      <c r="E1130" s="45"/>
    </row>
    <row r="1131" spans="1:5" x14ac:dyDescent="0.3">
      <c r="A1131" s="54">
        <v>45520</v>
      </c>
      <c r="B1131" s="45">
        <v>36365.97</v>
      </c>
      <c r="C1131" s="19">
        <f t="shared" si="17"/>
        <v>45535</v>
      </c>
      <c r="D1131" s="43"/>
      <c r="E1131" s="45"/>
    </row>
    <row r="1132" spans="1:5" x14ac:dyDescent="0.3">
      <c r="A1132" s="54">
        <v>45523</v>
      </c>
      <c r="B1132" s="45">
        <v>36503.86</v>
      </c>
      <c r="C1132" s="19">
        <f t="shared" si="17"/>
        <v>45535</v>
      </c>
      <c r="D1132" s="43"/>
      <c r="E1132" s="45"/>
    </row>
    <row r="1133" spans="1:5" x14ac:dyDescent="0.3">
      <c r="A1133" s="54">
        <v>45524</v>
      </c>
      <c r="B1133" s="45">
        <v>36726.550000000003</v>
      </c>
      <c r="C1133" s="19">
        <f t="shared" si="17"/>
        <v>45535</v>
      </c>
      <c r="D1133" s="43"/>
      <c r="E1133" s="45"/>
    </row>
    <row r="1134" spans="1:5" x14ac:dyDescent="0.3">
      <c r="A1134" s="54">
        <v>45525</v>
      </c>
      <c r="B1134" s="45">
        <v>36866.43</v>
      </c>
      <c r="C1134" s="19">
        <f t="shared" si="17"/>
        <v>45535</v>
      </c>
      <c r="D1134" s="43"/>
      <c r="E1134" s="45"/>
    </row>
    <row r="1135" spans="1:5" x14ac:dyDescent="0.3">
      <c r="A1135" s="54">
        <v>45526</v>
      </c>
      <c r="B1135" s="45">
        <v>36980.53</v>
      </c>
      <c r="C1135" s="19">
        <f t="shared" si="17"/>
        <v>45535</v>
      </c>
      <c r="D1135" s="43"/>
      <c r="E1135" s="45"/>
    </row>
    <row r="1136" spans="1:5" x14ac:dyDescent="0.3">
      <c r="A1136" s="54">
        <v>45527</v>
      </c>
      <c r="B1136" s="45">
        <v>36949.74</v>
      </c>
      <c r="C1136" s="19">
        <f t="shared" si="17"/>
        <v>45535</v>
      </c>
      <c r="D1136" s="43"/>
      <c r="E1136" s="45"/>
    </row>
    <row r="1137" spans="1:5" x14ac:dyDescent="0.3">
      <c r="A1137" s="54">
        <v>45530</v>
      </c>
      <c r="B1137" s="45">
        <v>37175.56</v>
      </c>
      <c r="C1137" s="19">
        <f t="shared" si="17"/>
        <v>45535</v>
      </c>
      <c r="D1137" s="43"/>
      <c r="E1137" s="45"/>
    </row>
    <row r="1138" spans="1:5" x14ac:dyDescent="0.3">
      <c r="A1138" s="54">
        <v>45531</v>
      </c>
      <c r="B1138" s="45">
        <v>37243.599999999999</v>
      </c>
      <c r="C1138" s="19">
        <f t="shared" si="17"/>
        <v>45535</v>
      </c>
      <c r="D1138" s="43"/>
      <c r="E1138" s="45"/>
    </row>
    <row r="1139" spans="1:5" x14ac:dyDescent="0.3">
      <c r="A1139" s="54">
        <v>45532</v>
      </c>
      <c r="B1139" s="45">
        <v>37261.15</v>
      </c>
      <c r="C1139" s="19">
        <f t="shared" si="17"/>
        <v>45535</v>
      </c>
      <c r="D1139" s="43"/>
      <c r="E1139" s="45"/>
    </row>
    <row r="1140" spans="1:5" x14ac:dyDescent="0.3">
      <c r="A1140" s="54">
        <v>45533</v>
      </c>
      <c r="B1140" s="45">
        <v>37285.57</v>
      </c>
      <c r="C1140" s="19">
        <f t="shared" si="17"/>
        <v>45535</v>
      </c>
      <c r="D1140" s="43"/>
      <c r="E1140" s="45"/>
    </row>
    <row r="1141" spans="1:5" x14ac:dyDescent="0.3">
      <c r="A1141" s="54">
        <v>45534</v>
      </c>
      <c r="B1141" s="45">
        <v>37449.919999999998</v>
      </c>
      <c r="C1141" s="19">
        <f t="shared" si="17"/>
        <v>45535</v>
      </c>
      <c r="D1141" s="43"/>
      <c r="E1141" s="45"/>
    </row>
    <row r="1142" spans="1:5" x14ac:dyDescent="0.3">
      <c r="A1142" s="54">
        <v>45537</v>
      </c>
      <c r="B1142" s="45">
        <v>37491.24</v>
      </c>
      <c r="C1142" s="19">
        <f t="shared" si="17"/>
        <v>45565</v>
      </c>
      <c r="D1142" s="43"/>
      <c r="E1142" s="45"/>
    </row>
    <row r="1143" spans="1:5" x14ac:dyDescent="0.3">
      <c r="A1143" s="54">
        <v>45538</v>
      </c>
      <c r="B1143" s="45">
        <v>37535.120000000003</v>
      </c>
      <c r="C1143" s="19">
        <f t="shared" si="17"/>
        <v>45565</v>
      </c>
      <c r="D1143" s="43"/>
      <c r="E1143" s="45"/>
    </row>
    <row r="1144" spans="1:5" x14ac:dyDescent="0.3">
      <c r="A1144" s="54">
        <v>45539</v>
      </c>
      <c r="B1144" s="45">
        <v>37472.699999999997</v>
      </c>
      <c r="C1144" s="19">
        <f t="shared" si="17"/>
        <v>45565</v>
      </c>
      <c r="D1144" s="43"/>
      <c r="E1144" s="45"/>
    </row>
    <row r="1145" spans="1:5" x14ac:dyDescent="0.3">
      <c r="A1145" s="54">
        <v>45540</v>
      </c>
      <c r="B1145" s="45">
        <v>37494.75</v>
      </c>
      <c r="C1145" s="19">
        <f t="shared" si="17"/>
        <v>45565</v>
      </c>
      <c r="D1145" s="43"/>
      <c r="E1145" s="45"/>
    </row>
    <row r="1146" spans="1:5" x14ac:dyDescent="0.3">
      <c r="A1146" s="54">
        <v>45541</v>
      </c>
      <c r="B1146" s="45">
        <v>37045.67</v>
      </c>
      <c r="C1146" s="19">
        <f t="shared" si="17"/>
        <v>45565</v>
      </c>
      <c r="D1146" s="43"/>
      <c r="E1146" s="45"/>
    </row>
    <row r="1147" spans="1:5" x14ac:dyDescent="0.3">
      <c r="A1147" s="54">
        <v>45544</v>
      </c>
      <c r="B1147" s="45">
        <v>37084.589999999997</v>
      </c>
      <c r="C1147" s="19">
        <f t="shared" si="17"/>
        <v>45565</v>
      </c>
      <c r="D1147" s="43"/>
      <c r="E1147" s="45"/>
    </row>
    <row r="1148" spans="1:5" x14ac:dyDescent="0.3">
      <c r="A1148" s="54">
        <v>45545</v>
      </c>
      <c r="B1148" s="45">
        <v>37307.879999999997</v>
      </c>
      <c r="C1148" s="19">
        <f t="shared" si="17"/>
        <v>45565</v>
      </c>
      <c r="D1148" s="43"/>
      <c r="E1148" s="45"/>
    </row>
    <row r="1149" spans="1:5" x14ac:dyDescent="0.3">
      <c r="A1149" s="54">
        <v>45546</v>
      </c>
      <c r="B1149" s="45">
        <v>37130.71</v>
      </c>
      <c r="C1149" s="19">
        <f t="shared" si="17"/>
        <v>45565</v>
      </c>
      <c r="D1149" s="43"/>
      <c r="E1149" s="45"/>
    </row>
    <row r="1150" spans="1:5" x14ac:dyDescent="0.3">
      <c r="A1150" s="54">
        <v>45547</v>
      </c>
      <c r="B1150" s="45">
        <v>37724.21</v>
      </c>
      <c r="C1150" s="19">
        <f t="shared" si="17"/>
        <v>45565</v>
      </c>
      <c r="D1150" s="43"/>
      <c r="E1150" s="45"/>
    </row>
    <row r="1151" spans="1:5" x14ac:dyDescent="0.3">
      <c r="A1151" s="54">
        <v>45548</v>
      </c>
      <c r="B1151" s="45">
        <v>37757.919999999998</v>
      </c>
      <c r="C1151" s="19">
        <f t="shared" si="17"/>
        <v>45565</v>
      </c>
      <c r="D1151" s="43"/>
      <c r="E1151" s="45"/>
    </row>
    <row r="1152" spans="1:5" x14ac:dyDescent="0.3">
      <c r="A1152" s="54">
        <v>45551</v>
      </c>
      <c r="B1152" s="45">
        <v>37821.03</v>
      </c>
      <c r="C1152" s="19">
        <f t="shared" si="17"/>
        <v>45565</v>
      </c>
      <c r="D1152" s="43"/>
      <c r="E1152" s="45"/>
    </row>
    <row r="1153" spans="1:5" x14ac:dyDescent="0.3">
      <c r="A1153" s="54">
        <v>45552</v>
      </c>
      <c r="B1153" s="45">
        <v>37824.519999999997</v>
      </c>
      <c r="C1153" s="19">
        <f t="shared" si="17"/>
        <v>45565</v>
      </c>
      <c r="D1153" s="43"/>
      <c r="E1153" s="45"/>
    </row>
    <row r="1154" spans="1:5" x14ac:dyDescent="0.3">
      <c r="A1154" s="54">
        <v>45553</v>
      </c>
      <c r="B1154" s="45">
        <v>37712.14</v>
      </c>
      <c r="C1154" s="19">
        <f t="shared" ref="C1154:C1217" si="18">EOMONTH(A1154,0)</f>
        <v>45565</v>
      </c>
      <c r="D1154" s="43"/>
      <c r="E1154" s="45"/>
    </row>
    <row r="1155" spans="1:5" x14ac:dyDescent="0.3">
      <c r="A1155" s="54">
        <v>45554</v>
      </c>
      <c r="B1155" s="45">
        <v>37642.28</v>
      </c>
      <c r="C1155" s="19">
        <f t="shared" si="18"/>
        <v>45565</v>
      </c>
      <c r="D1155" s="43"/>
      <c r="E1155" s="45"/>
    </row>
    <row r="1156" spans="1:5" x14ac:dyDescent="0.3">
      <c r="A1156" s="54">
        <v>45555</v>
      </c>
      <c r="B1156" s="45">
        <v>38179.29</v>
      </c>
      <c r="C1156" s="19">
        <f t="shared" si="18"/>
        <v>45565</v>
      </c>
      <c r="D1156" s="43"/>
      <c r="E1156" s="45"/>
    </row>
    <row r="1157" spans="1:5" x14ac:dyDescent="0.3">
      <c r="A1157" s="54">
        <v>45558</v>
      </c>
      <c r="B1157" s="45">
        <v>38472.29</v>
      </c>
      <c r="C1157" s="19">
        <f t="shared" si="18"/>
        <v>45565</v>
      </c>
      <c r="D1157" s="43"/>
      <c r="E1157" s="45"/>
    </row>
    <row r="1158" spans="1:5" x14ac:dyDescent="0.3">
      <c r="A1158" s="54">
        <v>45559</v>
      </c>
      <c r="B1158" s="45">
        <v>38488.870000000003</v>
      </c>
      <c r="C1158" s="19">
        <f t="shared" si="18"/>
        <v>45565</v>
      </c>
      <c r="D1158" s="43"/>
      <c r="E1158" s="45"/>
    </row>
    <row r="1159" spans="1:5" x14ac:dyDescent="0.3">
      <c r="A1159" s="54">
        <v>45560</v>
      </c>
      <c r="B1159" s="45">
        <v>38460.31</v>
      </c>
      <c r="C1159" s="19">
        <f t="shared" si="18"/>
        <v>45565</v>
      </c>
      <c r="D1159" s="43"/>
      <c r="E1159" s="45"/>
    </row>
    <row r="1160" spans="1:5" x14ac:dyDescent="0.3">
      <c r="A1160" s="54">
        <v>45561</v>
      </c>
      <c r="B1160" s="45">
        <v>38658.58</v>
      </c>
      <c r="C1160" s="19">
        <f t="shared" si="18"/>
        <v>45565</v>
      </c>
      <c r="D1160" s="43"/>
      <c r="E1160" s="45"/>
    </row>
    <row r="1161" spans="1:5" x14ac:dyDescent="0.3">
      <c r="A1161" s="54">
        <v>45562</v>
      </c>
      <c r="B1161" s="45">
        <v>38646.949999999997</v>
      </c>
      <c r="C1161" s="19">
        <f t="shared" si="18"/>
        <v>45565</v>
      </c>
      <c r="D1161" s="43"/>
      <c r="E1161" s="45"/>
    </row>
    <row r="1162" spans="1:5" x14ac:dyDescent="0.3">
      <c r="A1162" s="54">
        <v>45565</v>
      </c>
      <c r="B1162" s="45">
        <v>38261.39</v>
      </c>
      <c r="C1162" s="19">
        <f t="shared" si="18"/>
        <v>45565</v>
      </c>
      <c r="D1162" s="43"/>
      <c r="E1162" s="45"/>
    </row>
    <row r="1163" spans="1:5" x14ac:dyDescent="0.3">
      <c r="A1163" s="54">
        <v>45568</v>
      </c>
      <c r="B1163" s="45">
        <v>37488.51</v>
      </c>
      <c r="C1163" s="19">
        <f t="shared" si="18"/>
        <v>45596</v>
      </c>
      <c r="D1163" s="43"/>
      <c r="E1163" s="45"/>
    </row>
    <row r="1164" spans="1:5" x14ac:dyDescent="0.3">
      <c r="A1164" s="54">
        <v>45569</v>
      </c>
      <c r="B1164" s="45">
        <v>37140.49</v>
      </c>
      <c r="C1164" s="19">
        <f t="shared" si="18"/>
        <v>45596</v>
      </c>
      <c r="D1164" s="43"/>
      <c r="E1164" s="45"/>
    </row>
    <row r="1165" spans="1:5" x14ac:dyDescent="0.3">
      <c r="A1165" s="54">
        <v>45572</v>
      </c>
      <c r="B1165" s="45">
        <v>36583.47</v>
      </c>
      <c r="C1165" s="19">
        <f t="shared" si="18"/>
        <v>45596</v>
      </c>
      <c r="D1165" s="43"/>
      <c r="E1165" s="45"/>
    </row>
    <row r="1166" spans="1:5" x14ac:dyDescent="0.3">
      <c r="A1166" s="54">
        <v>45573</v>
      </c>
      <c r="B1166" s="45">
        <v>37105.17</v>
      </c>
      <c r="C1166" s="19">
        <f t="shared" si="18"/>
        <v>45596</v>
      </c>
      <c r="D1166" s="43"/>
      <c r="E1166" s="45"/>
    </row>
    <row r="1167" spans="1:5" x14ac:dyDescent="0.3">
      <c r="A1167" s="54">
        <v>45574</v>
      </c>
      <c r="B1167" s="45">
        <v>37242.54</v>
      </c>
      <c r="C1167" s="19">
        <f t="shared" si="18"/>
        <v>45596</v>
      </c>
      <c r="D1167" s="43"/>
      <c r="E1167" s="45"/>
    </row>
    <row r="1168" spans="1:5" x14ac:dyDescent="0.3">
      <c r="A1168" s="54">
        <v>45575</v>
      </c>
      <c r="B1168" s="45">
        <v>37240.29</v>
      </c>
      <c r="C1168" s="19">
        <f t="shared" si="18"/>
        <v>45596</v>
      </c>
      <c r="D1168" s="43"/>
      <c r="E1168" s="45"/>
    </row>
    <row r="1169" spans="1:5" x14ac:dyDescent="0.3">
      <c r="A1169" s="54">
        <v>45576</v>
      </c>
      <c r="B1169" s="45">
        <v>37261.17</v>
      </c>
      <c r="C1169" s="19">
        <f t="shared" si="18"/>
        <v>45596</v>
      </c>
      <c r="D1169" s="43"/>
      <c r="E1169" s="45"/>
    </row>
    <row r="1170" spans="1:5" x14ac:dyDescent="0.3">
      <c r="A1170" s="54">
        <v>45579</v>
      </c>
      <c r="B1170" s="45">
        <v>37443.97</v>
      </c>
      <c r="C1170" s="19">
        <f t="shared" si="18"/>
        <v>45596</v>
      </c>
      <c r="D1170" s="43"/>
      <c r="E1170" s="45"/>
    </row>
    <row r="1171" spans="1:5" x14ac:dyDescent="0.3">
      <c r="A1171" s="54">
        <v>45580</v>
      </c>
      <c r="B1171" s="45">
        <v>37457.599999999999</v>
      </c>
      <c r="C1171" s="19">
        <f t="shared" si="18"/>
        <v>45596</v>
      </c>
      <c r="D1171" s="43"/>
      <c r="E1171" s="45"/>
    </row>
    <row r="1172" spans="1:5" x14ac:dyDescent="0.3">
      <c r="A1172" s="54">
        <v>45581</v>
      </c>
      <c r="B1172" s="45">
        <v>37358.9</v>
      </c>
      <c r="C1172" s="19">
        <f t="shared" si="18"/>
        <v>45596</v>
      </c>
      <c r="D1172" s="43"/>
      <c r="E1172" s="45"/>
    </row>
    <row r="1173" spans="1:5" x14ac:dyDescent="0.3">
      <c r="A1173" s="54">
        <v>45582</v>
      </c>
      <c r="B1173" s="45">
        <v>36891.5</v>
      </c>
      <c r="C1173" s="19">
        <f t="shared" si="18"/>
        <v>45596</v>
      </c>
      <c r="D1173" s="43"/>
      <c r="E1173" s="45"/>
    </row>
    <row r="1174" spans="1:5" x14ac:dyDescent="0.3">
      <c r="A1174" s="54">
        <v>45583</v>
      </c>
      <c r="B1174" s="45">
        <v>36994.04</v>
      </c>
      <c r="C1174" s="19">
        <f t="shared" si="18"/>
        <v>45596</v>
      </c>
      <c r="D1174" s="43"/>
      <c r="E1174" s="45"/>
    </row>
    <row r="1175" spans="1:5" x14ac:dyDescent="0.3">
      <c r="A1175" s="54">
        <v>45586</v>
      </c>
      <c r="B1175" s="45">
        <v>36713.97</v>
      </c>
      <c r="C1175" s="19">
        <f t="shared" si="18"/>
        <v>45596</v>
      </c>
      <c r="D1175" s="43"/>
      <c r="E1175" s="45"/>
    </row>
    <row r="1176" spans="1:5" x14ac:dyDescent="0.3">
      <c r="A1176" s="54">
        <v>45587</v>
      </c>
      <c r="B1176" s="45">
        <v>36008.15</v>
      </c>
      <c r="C1176" s="19">
        <f t="shared" si="18"/>
        <v>45596</v>
      </c>
      <c r="D1176" s="43"/>
      <c r="E1176" s="45"/>
    </row>
    <row r="1177" spans="1:5" x14ac:dyDescent="0.3">
      <c r="A1177" s="54">
        <v>45588</v>
      </c>
      <c r="B1177" s="45">
        <v>36050.230000000003</v>
      </c>
      <c r="C1177" s="19">
        <f t="shared" si="18"/>
        <v>45596</v>
      </c>
      <c r="D1177" s="43"/>
      <c r="E1177" s="45"/>
    </row>
    <row r="1178" spans="1:5" x14ac:dyDescent="0.3">
      <c r="A1178" s="54">
        <v>45589</v>
      </c>
      <c r="B1178" s="45">
        <v>35966.15</v>
      </c>
      <c r="C1178" s="19">
        <f t="shared" si="18"/>
        <v>45596</v>
      </c>
      <c r="D1178" s="43"/>
      <c r="E1178" s="45"/>
    </row>
    <row r="1179" spans="1:5" x14ac:dyDescent="0.3">
      <c r="A1179" s="54">
        <v>45590</v>
      </c>
      <c r="B1179" s="45">
        <v>35510.879999999997</v>
      </c>
      <c r="C1179" s="19">
        <f t="shared" si="18"/>
        <v>45596</v>
      </c>
      <c r="D1179" s="43"/>
      <c r="E1179" s="45"/>
    </row>
    <row r="1180" spans="1:5" x14ac:dyDescent="0.3">
      <c r="A1180" s="54">
        <v>45593</v>
      </c>
      <c r="B1180" s="45">
        <v>35749.31</v>
      </c>
      <c r="C1180" s="19">
        <f t="shared" si="18"/>
        <v>45596</v>
      </c>
      <c r="D1180" s="43"/>
      <c r="E1180" s="45"/>
    </row>
    <row r="1181" spans="1:5" x14ac:dyDescent="0.3">
      <c r="A1181" s="54">
        <v>45594</v>
      </c>
      <c r="B1181" s="45">
        <v>35992.9</v>
      </c>
      <c r="C1181" s="19">
        <f t="shared" si="18"/>
        <v>45596</v>
      </c>
      <c r="D1181" s="43"/>
      <c r="E1181" s="45"/>
    </row>
    <row r="1182" spans="1:5" x14ac:dyDescent="0.3">
      <c r="A1182" s="54">
        <v>45595</v>
      </c>
      <c r="B1182" s="45">
        <v>35921.769999999997</v>
      </c>
      <c r="C1182" s="19">
        <f t="shared" si="18"/>
        <v>45596</v>
      </c>
      <c r="D1182" s="43"/>
      <c r="E1182" s="45"/>
    </row>
    <row r="1183" spans="1:5" x14ac:dyDescent="0.3">
      <c r="A1183" s="54">
        <v>45596</v>
      </c>
      <c r="B1183" s="45">
        <v>35830.980000000003</v>
      </c>
      <c r="C1183" s="19">
        <f t="shared" si="18"/>
        <v>45596</v>
      </c>
      <c r="D1183" s="43"/>
      <c r="E1183" s="45"/>
    </row>
    <row r="1184" spans="1:5" x14ac:dyDescent="0.3">
      <c r="A1184" s="54">
        <v>45597</v>
      </c>
      <c r="B1184" s="45">
        <v>36042.89</v>
      </c>
      <c r="C1184" s="19">
        <f t="shared" si="18"/>
        <v>45626</v>
      </c>
      <c r="D1184" s="43"/>
      <c r="E1184" s="45"/>
    </row>
    <row r="1185" spans="1:5" x14ac:dyDescent="0.3">
      <c r="A1185" s="54">
        <v>45600</v>
      </c>
      <c r="B1185" s="45">
        <v>35561.760000000002</v>
      </c>
      <c r="C1185" s="19">
        <f t="shared" si="18"/>
        <v>45626</v>
      </c>
      <c r="D1185" s="43"/>
      <c r="E1185" s="45"/>
    </row>
    <row r="1186" spans="1:5" x14ac:dyDescent="0.3">
      <c r="A1186" s="54">
        <v>45601</v>
      </c>
      <c r="B1186" s="45">
        <v>35816.9</v>
      </c>
      <c r="C1186" s="19">
        <f t="shared" si="18"/>
        <v>45626</v>
      </c>
      <c r="D1186" s="43"/>
      <c r="E1186" s="45"/>
    </row>
    <row r="1187" spans="1:5" x14ac:dyDescent="0.3">
      <c r="A1187" s="54">
        <v>45602</v>
      </c>
      <c r="B1187" s="45">
        <v>36377.550000000003</v>
      </c>
      <c r="C1187" s="19">
        <f t="shared" si="18"/>
        <v>45626</v>
      </c>
      <c r="D1187" s="43"/>
      <c r="E1187" s="45"/>
    </row>
    <row r="1188" spans="1:5" x14ac:dyDescent="0.3">
      <c r="A1188" s="54">
        <v>45603</v>
      </c>
      <c r="B1188" s="45">
        <v>36023.67</v>
      </c>
      <c r="C1188" s="19">
        <f t="shared" si="18"/>
        <v>45626</v>
      </c>
      <c r="D1188" s="43"/>
      <c r="E1188" s="45"/>
    </row>
    <row r="1189" spans="1:5" x14ac:dyDescent="0.3">
      <c r="A1189" s="54">
        <v>45604</v>
      </c>
      <c r="B1189" s="45">
        <v>35771.65</v>
      </c>
      <c r="C1189" s="19">
        <f t="shared" si="18"/>
        <v>45626</v>
      </c>
      <c r="D1189" s="43"/>
      <c r="E1189" s="45"/>
    </row>
    <row r="1190" spans="1:5" x14ac:dyDescent="0.3">
      <c r="A1190" s="54">
        <v>45607</v>
      </c>
      <c r="B1190" s="45">
        <v>35685.949999999997</v>
      </c>
      <c r="C1190" s="19">
        <f t="shared" si="18"/>
        <v>45626</v>
      </c>
      <c r="D1190" s="43"/>
      <c r="E1190" s="45"/>
    </row>
    <row r="1191" spans="1:5" x14ac:dyDescent="0.3">
      <c r="A1191" s="54">
        <v>45608</v>
      </c>
      <c r="B1191" s="45">
        <v>35275.39</v>
      </c>
      <c r="C1191" s="19">
        <f t="shared" si="18"/>
        <v>45626</v>
      </c>
      <c r="D1191" s="43"/>
      <c r="E1191" s="45"/>
    </row>
    <row r="1192" spans="1:5" x14ac:dyDescent="0.3">
      <c r="A1192" s="54">
        <v>45609</v>
      </c>
      <c r="B1192" s="45">
        <v>34618.080000000002</v>
      </c>
      <c r="C1192" s="19">
        <f t="shared" si="18"/>
        <v>45626</v>
      </c>
      <c r="D1192" s="43"/>
      <c r="E1192" s="45"/>
    </row>
    <row r="1193" spans="1:5" x14ac:dyDescent="0.3">
      <c r="A1193" s="54">
        <v>45610</v>
      </c>
      <c r="B1193" s="45">
        <v>34699.379999999997</v>
      </c>
      <c r="C1193" s="19">
        <f t="shared" si="18"/>
        <v>45626</v>
      </c>
      <c r="D1193" s="43"/>
      <c r="E1193" s="45"/>
    </row>
    <row r="1194" spans="1:5" x14ac:dyDescent="0.3">
      <c r="A1194" s="54">
        <v>45614</v>
      </c>
      <c r="B1194" s="45">
        <v>34599.089999999997</v>
      </c>
      <c r="C1194" s="19">
        <f t="shared" si="18"/>
        <v>45626</v>
      </c>
      <c r="D1194" s="43"/>
      <c r="E1194" s="45"/>
    </row>
    <row r="1195" spans="1:5" x14ac:dyDescent="0.3">
      <c r="A1195" s="54">
        <v>45617</v>
      </c>
      <c r="B1195" s="45">
        <v>34476.589999999997</v>
      </c>
      <c r="C1195" s="19">
        <f t="shared" si="18"/>
        <v>45626</v>
      </c>
      <c r="D1195" s="43"/>
      <c r="E1195" s="45"/>
    </row>
    <row r="1196" spans="1:5" x14ac:dyDescent="0.3">
      <c r="A1196" s="54">
        <v>45618</v>
      </c>
      <c r="B1196" s="45">
        <v>35116</v>
      </c>
      <c r="C1196" s="19">
        <f t="shared" si="18"/>
        <v>45626</v>
      </c>
      <c r="D1196" s="43"/>
      <c r="E1196" s="45"/>
    </row>
    <row r="1197" spans="1:5" x14ac:dyDescent="0.3">
      <c r="A1197" s="54">
        <v>45621</v>
      </c>
      <c r="B1197" s="45">
        <v>35635.18</v>
      </c>
      <c r="C1197" s="19">
        <f t="shared" si="18"/>
        <v>45626</v>
      </c>
      <c r="D1197" s="43"/>
      <c r="E1197" s="45"/>
    </row>
    <row r="1198" spans="1:5" x14ac:dyDescent="0.3">
      <c r="A1198" s="54">
        <v>45622</v>
      </c>
      <c r="B1198" s="45">
        <v>35649.51</v>
      </c>
      <c r="C1198" s="19">
        <f t="shared" si="18"/>
        <v>45626</v>
      </c>
      <c r="D1198" s="43"/>
      <c r="E1198" s="45"/>
    </row>
    <row r="1199" spans="1:5" x14ac:dyDescent="0.3">
      <c r="A1199" s="54">
        <v>45623</v>
      </c>
      <c r="B1199" s="45">
        <v>35853.83</v>
      </c>
      <c r="C1199" s="19">
        <f t="shared" si="18"/>
        <v>45626</v>
      </c>
      <c r="D1199" s="43"/>
      <c r="E1199" s="45"/>
    </row>
    <row r="1200" spans="1:5" x14ac:dyDescent="0.3">
      <c r="A1200" s="54">
        <v>45624</v>
      </c>
      <c r="B1200" s="45">
        <v>35573.800000000003</v>
      </c>
      <c r="C1200" s="19">
        <f t="shared" si="18"/>
        <v>45626</v>
      </c>
      <c r="D1200" s="43"/>
      <c r="E1200" s="45"/>
    </row>
    <row r="1201" spans="1:5" x14ac:dyDescent="0.3">
      <c r="A1201" s="54">
        <v>45625</v>
      </c>
      <c r="B1201" s="45">
        <v>35847.4</v>
      </c>
      <c r="C1201" s="19">
        <f t="shared" si="18"/>
        <v>45626</v>
      </c>
      <c r="D1201" s="43"/>
      <c r="E1201" s="45"/>
    </row>
    <row r="1202" spans="1:5" x14ac:dyDescent="0.3">
      <c r="A1202" s="54">
        <v>45628</v>
      </c>
      <c r="B1202" s="45">
        <v>36082.61</v>
      </c>
      <c r="C1202" s="19">
        <f t="shared" si="18"/>
        <v>45657</v>
      </c>
      <c r="D1202" s="43"/>
      <c r="E1202" s="45"/>
    </row>
    <row r="1203" spans="1:5" x14ac:dyDescent="0.3">
      <c r="A1203" s="54">
        <v>45629</v>
      </c>
      <c r="B1203" s="45">
        <v>36374.879999999997</v>
      </c>
      <c r="C1203" s="19">
        <f t="shared" si="18"/>
        <v>45657</v>
      </c>
      <c r="D1203" s="43"/>
      <c r="E1203" s="45"/>
    </row>
    <row r="1204" spans="1:5" x14ac:dyDescent="0.3">
      <c r="A1204" s="54">
        <v>45630</v>
      </c>
      <c r="B1204" s="45">
        <v>36499.26</v>
      </c>
      <c r="C1204" s="19">
        <f t="shared" si="18"/>
        <v>45657</v>
      </c>
      <c r="D1204" s="43"/>
      <c r="E1204" s="45"/>
    </row>
    <row r="1205" spans="1:5" x14ac:dyDescent="0.3">
      <c r="A1205" s="54">
        <v>45631</v>
      </c>
      <c r="B1205" s="45">
        <v>36781.26</v>
      </c>
      <c r="C1205" s="19">
        <f t="shared" si="18"/>
        <v>45657</v>
      </c>
      <c r="D1205" s="43"/>
      <c r="E1205" s="45"/>
    </row>
    <row r="1206" spans="1:5" x14ac:dyDescent="0.3">
      <c r="A1206" s="54">
        <v>45632</v>
      </c>
      <c r="B1206" s="45">
        <v>36835.17</v>
      </c>
      <c r="C1206" s="19">
        <f t="shared" si="18"/>
        <v>45657</v>
      </c>
      <c r="D1206" s="43"/>
      <c r="E1206" s="45"/>
    </row>
    <row r="1207" spans="1:5" x14ac:dyDescent="0.3">
      <c r="A1207" s="54">
        <v>45635</v>
      </c>
      <c r="B1207" s="45">
        <v>36803.449999999997</v>
      </c>
      <c r="C1207" s="19">
        <f t="shared" si="18"/>
        <v>45657</v>
      </c>
      <c r="D1207" s="43"/>
      <c r="E1207" s="45"/>
    </row>
    <row r="1208" spans="1:5" x14ac:dyDescent="0.3">
      <c r="A1208" s="54">
        <v>45636</v>
      </c>
      <c r="B1208" s="45">
        <v>36839.599999999999</v>
      </c>
      <c r="C1208" s="19">
        <f t="shared" si="18"/>
        <v>45657</v>
      </c>
      <c r="D1208" s="43"/>
      <c r="E1208" s="45"/>
    </row>
    <row r="1209" spans="1:5" x14ac:dyDescent="0.3">
      <c r="A1209" s="54">
        <v>45637</v>
      </c>
      <c r="B1209" s="45">
        <v>36907.949999999997</v>
      </c>
      <c r="C1209" s="19">
        <f t="shared" si="18"/>
        <v>45657</v>
      </c>
      <c r="D1209" s="43"/>
      <c r="E1209" s="45"/>
    </row>
    <row r="1210" spans="1:5" x14ac:dyDescent="0.3">
      <c r="A1210" s="54">
        <v>45638</v>
      </c>
      <c r="B1210" s="45">
        <v>36747.199999999997</v>
      </c>
      <c r="C1210" s="19">
        <f t="shared" si="18"/>
        <v>45657</v>
      </c>
      <c r="D1210" s="43"/>
      <c r="E1210" s="45"/>
    </row>
    <row r="1211" spans="1:5" x14ac:dyDescent="0.3">
      <c r="A1211" s="54">
        <v>45639</v>
      </c>
      <c r="B1211" s="45">
        <v>36909.230000000003</v>
      </c>
      <c r="C1211" s="19">
        <f t="shared" si="18"/>
        <v>45657</v>
      </c>
      <c r="D1211" s="43"/>
      <c r="E1211" s="45"/>
    </row>
    <row r="1212" spans="1:5" x14ac:dyDescent="0.3">
      <c r="A1212" s="54">
        <v>45642</v>
      </c>
      <c r="B1212" s="45">
        <v>36898.980000000003</v>
      </c>
      <c r="C1212" s="19">
        <f t="shared" si="18"/>
        <v>45657</v>
      </c>
      <c r="D1212" s="43"/>
      <c r="E1212" s="45"/>
    </row>
    <row r="1213" spans="1:5" x14ac:dyDescent="0.3">
      <c r="A1213" s="54">
        <v>45643</v>
      </c>
      <c r="B1213" s="45">
        <v>36493.339999999997</v>
      </c>
      <c r="C1213" s="19">
        <f t="shared" si="18"/>
        <v>45657</v>
      </c>
      <c r="D1213" s="43"/>
      <c r="E1213" s="45"/>
    </row>
    <row r="1214" spans="1:5" x14ac:dyDescent="0.3">
      <c r="A1214" s="54">
        <v>45644</v>
      </c>
      <c r="B1214" s="45">
        <v>36238.39</v>
      </c>
      <c r="C1214" s="19">
        <f t="shared" si="18"/>
        <v>45657</v>
      </c>
      <c r="D1214" s="43"/>
      <c r="E1214" s="45"/>
    </row>
    <row r="1215" spans="1:5" x14ac:dyDescent="0.3">
      <c r="A1215" s="54">
        <v>45645</v>
      </c>
      <c r="B1215" s="45">
        <v>35950.449999999997</v>
      </c>
      <c r="C1215" s="19">
        <f t="shared" si="18"/>
        <v>45657</v>
      </c>
      <c r="D1215" s="43"/>
      <c r="E1215" s="45"/>
    </row>
    <row r="1216" spans="1:5" x14ac:dyDescent="0.3">
      <c r="A1216" s="54">
        <v>45646</v>
      </c>
      <c r="B1216" s="45">
        <v>35266.620000000003</v>
      </c>
      <c r="C1216" s="19">
        <f t="shared" si="18"/>
        <v>45657</v>
      </c>
      <c r="D1216" s="43"/>
      <c r="E1216" s="45"/>
    </row>
    <row r="1217" spans="1:5" x14ac:dyDescent="0.3">
      <c r="A1217" s="54">
        <v>45649</v>
      </c>
      <c r="B1217" s="45">
        <v>35413.410000000003</v>
      </c>
      <c r="C1217" s="19">
        <f t="shared" si="18"/>
        <v>45657</v>
      </c>
      <c r="D1217" s="43"/>
      <c r="E1217" s="45"/>
    </row>
    <row r="1218" spans="1:5" x14ac:dyDescent="0.3">
      <c r="A1218" s="54">
        <v>45650</v>
      </c>
      <c r="B1218" s="45">
        <v>35401.019999999997</v>
      </c>
      <c r="C1218" s="19">
        <f t="shared" ref="C1218:C1281" si="19">EOMONTH(A1218,0)</f>
        <v>45657</v>
      </c>
      <c r="D1218" s="43"/>
      <c r="E1218" s="45"/>
    </row>
    <row r="1219" spans="1:5" x14ac:dyDescent="0.3">
      <c r="A1219" s="54">
        <v>45652</v>
      </c>
      <c r="B1219" s="45">
        <v>35444.76</v>
      </c>
      <c r="C1219" s="19">
        <f t="shared" si="19"/>
        <v>45657</v>
      </c>
      <c r="D1219" s="43"/>
      <c r="E1219" s="45"/>
    </row>
    <row r="1220" spans="1:5" x14ac:dyDescent="0.3">
      <c r="A1220" s="54">
        <v>45653</v>
      </c>
      <c r="B1220" s="45">
        <v>35468.25</v>
      </c>
      <c r="C1220" s="19">
        <f t="shared" si="19"/>
        <v>45657</v>
      </c>
      <c r="D1220" s="43"/>
      <c r="E1220" s="45"/>
    </row>
    <row r="1221" spans="1:5" x14ac:dyDescent="0.3">
      <c r="A1221" s="54">
        <v>45656</v>
      </c>
      <c r="B1221" s="45">
        <v>35329.040000000001</v>
      </c>
      <c r="C1221" s="19">
        <f t="shared" si="19"/>
        <v>45657</v>
      </c>
      <c r="D1221" s="43"/>
      <c r="E1221" s="45"/>
    </row>
    <row r="1222" spans="1:5" x14ac:dyDescent="0.3">
      <c r="A1222" s="54">
        <v>45657</v>
      </c>
      <c r="B1222" s="45">
        <v>35357.9</v>
      </c>
      <c r="C1222" s="19">
        <f t="shared" si="19"/>
        <v>45657</v>
      </c>
      <c r="D1222" s="43"/>
      <c r="E1222" s="45"/>
    </row>
    <row r="1223" spans="1:5" x14ac:dyDescent="0.3">
      <c r="A1223" s="54">
        <v>45658</v>
      </c>
      <c r="B1223" s="45">
        <v>35526.080000000002</v>
      </c>
      <c r="C1223" s="19">
        <f t="shared" si="19"/>
        <v>45688</v>
      </c>
      <c r="D1223" s="43"/>
      <c r="E1223" s="45"/>
    </row>
    <row r="1224" spans="1:5" x14ac:dyDescent="0.3">
      <c r="A1224" s="54">
        <v>45659</v>
      </c>
      <c r="B1224" s="45">
        <v>36060.050000000003</v>
      </c>
      <c r="C1224" s="19">
        <f t="shared" si="19"/>
        <v>45688</v>
      </c>
      <c r="D1224" s="43"/>
      <c r="E1224" s="45"/>
    </row>
    <row r="1225" spans="1:5" x14ac:dyDescent="0.3">
      <c r="A1225" s="54">
        <v>45660</v>
      </c>
      <c r="B1225" s="45">
        <v>35883.72</v>
      </c>
      <c r="C1225" s="19">
        <f t="shared" si="19"/>
        <v>45688</v>
      </c>
      <c r="D1225" s="43"/>
      <c r="E1225" s="45"/>
    </row>
    <row r="1226" spans="1:5" x14ac:dyDescent="0.3">
      <c r="A1226" s="54">
        <v>45663</v>
      </c>
      <c r="B1226" s="45">
        <v>35120.870000000003</v>
      </c>
      <c r="C1226" s="19">
        <f t="shared" si="19"/>
        <v>45688</v>
      </c>
      <c r="D1226" s="43"/>
      <c r="E1226" s="45"/>
    </row>
    <row r="1227" spans="1:5" x14ac:dyDescent="0.3">
      <c r="A1227" s="54">
        <v>45664</v>
      </c>
      <c r="B1227" s="45">
        <v>35304.550000000003</v>
      </c>
      <c r="C1227" s="19">
        <f t="shared" si="19"/>
        <v>45688</v>
      </c>
      <c r="D1227" s="43"/>
      <c r="E1227" s="45"/>
    </row>
    <row r="1228" spans="1:5" x14ac:dyDescent="0.3">
      <c r="A1228" s="54">
        <v>45665</v>
      </c>
      <c r="B1228" s="45">
        <v>35131.01</v>
      </c>
      <c r="C1228" s="19">
        <f t="shared" si="19"/>
        <v>45688</v>
      </c>
      <c r="D1228" s="43"/>
      <c r="E1228" s="45"/>
    </row>
    <row r="1229" spans="1:5" x14ac:dyDescent="0.3">
      <c r="A1229" s="54">
        <v>45666</v>
      </c>
      <c r="B1229" s="45">
        <v>34838.29</v>
      </c>
      <c r="C1229" s="19">
        <f t="shared" si="19"/>
        <v>45688</v>
      </c>
      <c r="D1229" s="43"/>
      <c r="E1229" s="45"/>
    </row>
    <row r="1230" spans="1:5" x14ac:dyDescent="0.3">
      <c r="A1230" s="54">
        <v>45667</v>
      </c>
      <c r="B1230" s="45">
        <v>34447.06</v>
      </c>
      <c r="C1230" s="19">
        <f t="shared" si="19"/>
        <v>45688</v>
      </c>
      <c r="D1230" s="43"/>
      <c r="E1230" s="45"/>
    </row>
    <row r="1231" spans="1:5" x14ac:dyDescent="0.3">
      <c r="A1231" s="54">
        <v>45670</v>
      </c>
      <c r="B1231" s="45">
        <v>33569.22</v>
      </c>
      <c r="C1231" s="19">
        <f t="shared" si="19"/>
        <v>45688</v>
      </c>
      <c r="D1231" s="43"/>
      <c r="E1231" s="45"/>
    </row>
    <row r="1232" spans="1:5" x14ac:dyDescent="0.3">
      <c r="A1232" s="54">
        <v>45671</v>
      </c>
      <c r="B1232" s="45">
        <v>33944.68</v>
      </c>
      <c r="C1232" s="19">
        <f t="shared" si="19"/>
        <v>45688</v>
      </c>
      <c r="D1232" s="43"/>
      <c r="E1232" s="45"/>
    </row>
    <row r="1233" spans="1:5" x14ac:dyDescent="0.3">
      <c r="A1233" s="54">
        <v>45672</v>
      </c>
      <c r="B1233" s="45">
        <v>34055.47</v>
      </c>
      <c r="C1233" s="19">
        <f t="shared" si="19"/>
        <v>45688</v>
      </c>
      <c r="D1233" s="43"/>
      <c r="E1233" s="45"/>
    </row>
    <row r="1234" spans="1:5" x14ac:dyDescent="0.3">
      <c r="A1234" s="54">
        <v>45673</v>
      </c>
      <c r="B1234" s="45">
        <v>34313.800000000003</v>
      </c>
      <c r="C1234" s="19">
        <f t="shared" si="19"/>
        <v>45688</v>
      </c>
      <c r="D1234" s="43"/>
      <c r="E1234" s="45"/>
    </row>
    <row r="1235" spans="1:5" x14ac:dyDescent="0.3">
      <c r="A1235" s="54">
        <v>45674</v>
      </c>
      <c r="B1235" s="45">
        <v>34278.129999999997</v>
      </c>
      <c r="C1235" s="19">
        <f t="shared" si="19"/>
        <v>45688</v>
      </c>
      <c r="D1235" s="43"/>
      <c r="E1235" s="45"/>
    </row>
    <row r="1236" spans="1:5" x14ac:dyDescent="0.3">
      <c r="A1236" s="54">
        <v>45677</v>
      </c>
      <c r="B1236" s="45">
        <v>34481.71</v>
      </c>
      <c r="C1236" s="19">
        <f t="shared" si="19"/>
        <v>45688</v>
      </c>
      <c r="D1236" s="43"/>
      <c r="E1236" s="45"/>
    </row>
    <row r="1237" spans="1:5" x14ac:dyDescent="0.3">
      <c r="A1237" s="54">
        <v>45678</v>
      </c>
      <c r="B1237" s="45">
        <v>33887.69</v>
      </c>
      <c r="C1237" s="19">
        <f t="shared" si="19"/>
        <v>45688</v>
      </c>
      <c r="D1237" s="43"/>
      <c r="E1237" s="45"/>
    </row>
    <row r="1238" spans="1:5" x14ac:dyDescent="0.3">
      <c r="A1238" s="54">
        <v>45679</v>
      </c>
      <c r="B1238" s="45">
        <v>33829.919999999998</v>
      </c>
      <c r="C1238" s="19">
        <f t="shared" si="19"/>
        <v>45688</v>
      </c>
      <c r="D1238" s="43"/>
      <c r="E1238" s="45"/>
    </row>
    <row r="1239" spans="1:5" x14ac:dyDescent="0.3">
      <c r="A1239" s="54">
        <v>45680</v>
      </c>
      <c r="B1239" s="45">
        <v>34053.660000000003</v>
      </c>
      <c r="C1239" s="19">
        <f t="shared" si="19"/>
        <v>45688</v>
      </c>
      <c r="D1239" s="43"/>
      <c r="E1239" s="45"/>
    </row>
    <row r="1240" spans="1:5" x14ac:dyDescent="0.3">
      <c r="A1240" s="54">
        <v>45681</v>
      </c>
      <c r="B1240" s="45">
        <v>33707.25</v>
      </c>
      <c r="C1240" s="19">
        <f t="shared" si="19"/>
        <v>45688</v>
      </c>
      <c r="D1240" s="43"/>
      <c r="E1240" s="45"/>
    </row>
    <row r="1241" spans="1:5" x14ac:dyDescent="0.3">
      <c r="A1241" s="54">
        <v>45684</v>
      </c>
      <c r="B1241" s="45">
        <v>33062.339999999997</v>
      </c>
      <c r="C1241" s="19">
        <f t="shared" si="19"/>
        <v>45688</v>
      </c>
      <c r="D1241" s="43"/>
      <c r="E1241" s="45"/>
    </row>
    <row r="1242" spans="1:5" x14ac:dyDescent="0.3">
      <c r="A1242" s="54">
        <v>45685</v>
      </c>
      <c r="B1242" s="45">
        <v>33084.22</v>
      </c>
      <c r="C1242" s="19">
        <f t="shared" si="19"/>
        <v>45688</v>
      </c>
      <c r="D1242" s="43"/>
      <c r="E1242" s="45"/>
    </row>
    <row r="1243" spans="1:5" x14ac:dyDescent="0.3">
      <c r="A1243" s="54">
        <v>45686</v>
      </c>
      <c r="B1243" s="45">
        <v>33593.199999999997</v>
      </c>
      <c r="C1243" s="19">
        <f t="shared" si="19"/>
        <v>45688</v>
      </c>
      <c r="D1243" s="43"/>
      <c r="E1243" s="45"/>
    </row>
    <row r="1244" spans="1:5" x14ac:dyDescent="0.3">
      <c r="A1244" s="54">
        <v>45687</v>
      </c>
      <c r="B1244" s="45">
        <v>33676.11</v>
      </c>
      <c r="C1244" s="19">
        <f t="shared" si="19"/>
        <v>45688</v>
      </c>
      <c r="D1244" s="43"/>
      <c r="E1244" s="45"/>
    </row>
    <row r="1245" spans="1:5" x14ac:dyDescent="0.3">
      <c r="A1245" s="54">
        <v>45688</v>
      </c>
      <c r="B1245" s="45">
        <v>34130.93</v>
      </c>
      <c r="C1245" s="19">
        <f t="shared" si="19"/>
        <v>45688</v>
      </c>
      <c r="D1245" s="43"/>
      <c r="E1245" s="45"/>
    </row>
    <row r="1246" spans="1:5" x14ac:dyDescent="0.3">
      <c r="A1246" s="54">
        <v>45689</v>
      </c>
      <c r="B1246" s="45">
        <v>34132.239999999998</v>
      </c>
      <c r="C1246" s="19">
        <f t="shared" si="19"/>
        <v>45716</v>
      </c>
      <c r="D1246" s="43"/>
      <c r="E1246" s="45"/>
    </row>
    <row r="1247" spans="1:5" x14ac:dyDescent="0.3">
      <c r="A1247" s="54">
        <v>45691</v>
      </c>
      <c r="B1247" s="45">
        <v>33849.51</v>
      </c>
      <c r="C1247" s="19">
        <f t="shared" si="19"/>
        <v>45716</v>
      </c>
      <c r="D1247" s="43"/>
      <c r="E1247" s="45"/>
    </row>
    <row r="1248" spans="1:5" x14ac:dyDescent="0.3">
      <c r="A1248" s="54">
        <v>45692</v>
      </c>
      <c r="B1248" s="45">
        <v>34363.72</v>
      </c>
      <c r="C1248" s="19">
        <f t="shared" si="19"/>
        <v>45716</v>
      </c>
      <c r="D1248" s="43"/>
      <c r="E1248" s="45"/>
    </row>
    <row r="1249" spans="1:5" x14ac:dyDescent="0.3">
      <c r="A1249" s="54">
        <v>45693</v>
      </c>
      <c r="B1249" s="45">
        <v>34453.97</v>
      </c>
      <c r="C1249" s="19">
        <f t="shared" si="19"/>
        <v>45716</v>
      </c>
      <c r="D1249" s="43"/>
      <c r="E1249" s="45"/>
    </row>
    <row r="1250" spans="1:5" x14ac:dyDescent="0.3">
      <c r="A1250" s="54">
        <v>45694</v>
      </c>
      <c r="B1250" s="45">
        <v>34279.629999999997</v>
      </c>
      <c r="C1250" s="19">
        <f t="shared" si="19"/>
        <v>45716</v>
      </c>
      <c r="D1250" s="43"/>
      <c r="E1250" s="45"/>
    </row>
    <row r="1251" spans="1:5" x14ac:dyDescent="0.3">
      <c r="A1251" s="54">
        <v>45695</v>
      </c>
      <c r="B1251" s="45">
        <v>34246.839999999997</v>
      </c>
      <c r="C1251" s="19">
        <f t="shared" si="19"/>
        <v>45716</v>
      </c>
      <c r="D1251" s="43"/>
      <c r="E1251" s="45"/>
    </row>
    <row r="1252" spans="1:5" x14ac:dyDescent="0.3">
      <c r="A1252" s="54">
        <v>45698</v>
      </c>
      <c r="B1252" s="45">
        <v>33812.230000000003</v>
      </c>
      <c r="C1252" s="19">
        <f t="shared" si="19"/>
        <v>45716</v>
      </c>
      <c r="D1252" s="43"/>
      <c r="E1252" s="45"/>
    </row>
    <row r="1253" spans="1:5" x14ac:dyDescent="0.3">
      <c r="A1253" s="54">
        <v>45699</v>
      </c>
      <c r="B1253" s="45">
        <v>33146.32</v>
      </c>
      <c r="C1253" s="19">
        <f t="shared" si="19"/>
        <v>45716</v>
      </c>
      <c r="D1253" s="43"/>
      <c r="E1253" s="45"/>
    </row>
    <row r="1254" spans="1:5" x14ac:dyDescent="0.3">
      <c r="A1254" s="54">
        <v>45700</v>
      </c>
      <c r="B1254" s="45">
        <v>33091.14</v>
      </c>
      <c r="C1254" s="19">
        <f t="shared" si="19"/>
        <v>45716</v>
      </c>
      <c r="D1254" s="43"/>
      <c r="E1254" s="45"/>
    </row>
    <row r="1255" spans="1:5" x14ac:dyDescent="0.3">
      <c r="A1255" s="54">
        <v>45701</v>
      </c>
      <c r="B1255" s="45">
        <v>33086.76</v>
      </c>
      <c r="C1255" s="19">
        <f t="shared" si="19"/>
        <v>45716</v>
      </c>
      <c r="D1255" s="43"/>
      <c r="E1255" s="45"/>
    </row>
    <row r="1256" spans="1:5" x14ac:dyDescent="0.3">
      <c r="A1256" s="54">
        <v>45702</v>
      </c>
      <c r="B1256" s="45">
        <v>32659.9</v>
      </c>
      <c r="C1256" s="19">
        <f t="shared" si="19"/>
        <v>45716</v>
      </c>
      <c r="D1256" s="43"/>
      <c r="E1256" s="45"/>
    </row>
    <row r="1257" spans="1:5" x14ac:dyDescent="0.3">
      <c r="A1257" s="54">
        <v>45705</v>
      </c>
      <c r="B1257" s="45">
        <v>32691.24</v>
      </c>
      <c r="C1257" s="19">
        <f t="shared" si="19"/>
        <v>45716</v>
      </c>
      <c r="D1257" s="43"/>
      <c r="E1257" s="45"/>
    </row>
    <row r="1258" spans="1:5" x14ac:dyDescent="0.3">
      <c r="A1258" s="54">
        <v>45706</v>
      </c>
      <c r="B1258" s="45">
        <v>32627.75</v>
      </c>
      <c r="C1258" s="19">
        <f t="shared" si="19"/>
        <v>45716</v>
      </c>
      <c r="D1258" s="43"/>
      <c r="E1258" s="45"/>
    </row>
    <row r="1259" spans="1:5" x14ac:dyDescent="0.3">
      <c r="A1259" s="54">
        <v>45707</v>
      </c>
      <c r="B1259" s="45">
        <v>32817.74</v>
      </c>
      <c r="C1259" s="19">
        <f t="shared" si="19"/>
        <v>45716</v>
      </c>
      <c r="D1259" s="43"/>
      <c r="E1259" s="45"/>
    </row>
    <row r="1260" spans="1:5" x14ac:dyDescent="0.3">
      <c r="A1260" s="54">
        <v>45708</v>
      </c>
      <c r="B1260" s="45">
        <v>32975.85</v>
      </c>
      <c r="C1260" s="19">
        <f t="shared" si="19"/>
        <v>45716</v>
      </c>
      <c r="D1260" s="43"/>
      <c r="E1260" s="45"/>
    </row>
    <row r="1261" spans="1:5" x14ac:dyDescent="0.3">
      <c r="A1261" s="54">
        <v>45709</v>
      </c>
      <c r="B1261" s="45">
        <v>32753.5</v>
      </c>
      <c r="C1261" s="19">
        <f t="shared" si="19"/>
        <v>45716</v>
      </c>
      <c r="D1261" s="43"/>
      <c r="E1261" s="45"/>
    </row>
    <row r="1262" spans="1:5" x14ac:dyDescent="0.3">
      <c r="A1262" s="54">
        <v>45712</v>
      </c>
      <c r="B1262" s="45">
        <v>32402.38</v>
      </c>
      <c r="C1262" s="19">
        <f t="shared" si="19"/>
        <v>45716</v>
      </c>
      <c r="D1262" s="43"/>
      <c r="E1262" s="45"/>
    </row>
    <row r="1263" spans="1:5" x14ac:dyDescent="0.3">
      <c r="A1263" s="54">
        <v>45713</v>
      </c>
      <c r="B1263" s="45">
        <v>32323.82</v>
      </c>
      <c r="C1263" s="19">
        <f t="shared" si="19"/>
        <v>45716</v>
      </c>
      <c r="D1263" s="43"/>
      <c r="E1263" s="45"/>
    </row>
    <row r="1264" spans="1:5" x14ac:dyDescent="0.3">
      <c r="A1264" s="54">
        <v>45715</v>
      </c>
      <c r="B1264" s="45">
        <v>32160.49</v>
      </c>
      <c r="C1264" s="19">
        <f t="shared" si="19"/>
        <v>45716</v>
      </c>
      <c r="D1264" s="43"/>
      <c r="E1264" s="45"/>
    </row>
    <row r="1265" spans="1:5" x14ac:dyDescent="0.3">
      <c r="A1265" s="54">
        <v>45716</v>
      </c>
      <c r="B1265" s="45">
        <v>31473.37</v>
      </c>
      <c r="C1265" s="19">
        <f t="shared" si="19"/>
        <v>45716</v>
      </c>
      <c r="D1265" s="43"/>
      <c r="E1265" s="45"/>
    </row>
    <row r="1266" spans="1:5" x14ac:dyDescent="0.3">
      <c r="A1266" s="54">
        <v>45719</v>
      </c>
      <c r="B1266" s="45">
        <v>31498.76</v>
      </c>
      <c r="C1266" s="19">
        <f t="shared" si="19"/>
        <v>45747</v>
      </c>
      <c r="D1266" s="43"/>
      <c r="E1266" s="45"/>
    </row>
    <row r="1267" spans="1:5" x14ac:dyDescent="0.3">
      <c r="A1267" s="54">
        <v>45720</v>
      </c>
      <c r="B1267" s="45">
        <v>31531.88</v>
      </c>
      <c r="C1267" s="19">
        <f t="shared" si="19"/>
        <v>45747</v>
      </c>
      <c r="D1267" s="43"/>
      <c r="E1267" s="45"/>
    </row>
    <row r="1268" spans="1:5" x14ac:dyDescent="0.3">
      <c r="A1268" s="54">
        <v>45721</v>
      </c>
      <c r="B1268" s="45">
        <v>32068</v>
      </c>
      <c r="C1268" s="19">
        <f t="shared" si="19"/>
        <v>45747</v>
      </c>
      <c r="D1268" s="43"/>
      <c r="E1268" s="45"/>
    </row>
    <row r="1269" spans="1:5" x14ac:dyDescent="0.3">
      <c r="A1269" s="54">
        <v>45722</v>
      </c>
      <c r="B1269" s="45">
        <v>32369.7</v>
      </c>
      <c r="C1269" s="19">
        <f t="shared" si="19"/>
        <v>45747</v>
      </c>
      <c r="D1269" s="43"/>
      <c r="E1269" s="45"/>
    </row>
    <row r="1270" spans="1:5" x14ac:dyDescent="0.3">
      <c r="A1270" s="54">
        <v>45723</v>
      </c>
      <c r="B1270" s="45">
        <v>32364.23</v>
      </c>
      <c r="C1270" s="19">
        <f t="shared" si="19"/>
        <v>45747</v>
      </c>
      <c r="D1270" s="43"/>
      <c r="E1270" s="45"/>
    </row>
    <row r="1271" spans="1:5" x14ac:dyDescent="0.3">
      <c r="A1271" s="54">
        <v>45727</v>
      </c>
      <c r="B1271" s="45">
        <v>32142.17</v>
      </c>
      <c r="C1271" s="19">
        <f t="shared" si="19"/>
        <v>45747</v>
      </c>
      <c r="D1271" s="43"/>
      <c r="E1271" s="45"/>
    </row>
    <row r="1272" spans="1:5" x14ac:dyDescent="0.3">
      <c r="A1272" s="54">
        <v>45728</v>
      </c>
      <c r="B1272" s="45">
        <v>32081.82</v>
      </c>
      <c r="C1272" s="19">
        <f t="shared" si="19"/>
        <v>45747</v>
      </c>
      <c r="D1272" s="43"/>
      <c r="E1272" s="45"/>
    </row>
    <row r="1273" spans="1:5" x14ac:dyDescent="0.3">
      <c r="A1273" s="54">
        <v>45729</v>
      </c>
      <c r="B1273" s="45">
        <v>31942.25</v>
      </c>
      <c r="C1273" s="19">
        <f t="shared" si="19"/>
        <v>45747</v>
      </c>
      <c r="D1273" s="43"/>
      <c r="E1273" s="45"/>
    </row>
    <row r="1274" spans="1:5" x14ac:dyDescent="0.3">
      <c r="A1274" s="54">
        <v>45733</v>
      </c>
      <c r="B1274" s="45">
        <v>32119.96</v>
      </c>
      <c r="C1274" s="19">
        <f t="shared" si="19"/>
        <v>45747</v>
      </c>
      <c r="D1274" s="43"/>
      <c r="E1274" s="45"/>
    </row>
    <row r="1275" spans="1:5" x14ac:dyDescent="0.3">
      <c r="A1275" s="54">
        <v>45734</v>
      </c>
      <c r="B1275" s="45">
        <v>32703.97</v>
      </c>
      <c r="C1275" s="19">
        <f t="shared" si="19"/>
        <v>45747</v>
      </c>
      <c r="D1275" s="43"/>
      <c r="E1275" s="45"/>
    </row>
    <row r="1276" spans="1:5" x14ac:dyDescent="0.3">
      <c r="A1276" s="54">
        <v>45735</v>
      </c>
      <c r="B1276" s="45">
        <v>33033.14</v>
      </c>
      <c r="C1276" s="19">
        <f t="shared" si="19"/>
        <v>45747</v>
      </c>
      <c r="D1276" s="43"/>
      <c r="E1276" s="45"/>
    </row>
    <row r="1277" spans="1:5" x14ac:dyDescent="0.3">
      <c r="A1277" s="54">
        <v>45736</v>
      </c>
      <c r="B1277" s="45">
        <v>33358.699999999997</v>
      </c>
      <c r="C1277" s="19">
        <f t="shared" si="19"/>
        <v>45747</v>
      </c>
      <c r="D1277" s="43"/>
      <c r="E1277" s="45"/>
    </row>
    <row r="1278" spans="1:5" x14ac:dyDescent="0.3">
      <c r="A1278" s="54">
        <v>45737</v>
      </c>
      <c r="B1278" s="45">
        <v>33681.839999999997</v>
      </c>
      <c r="C1278" s="19">
        <f t="shared" si="19"/>
        <v>45747</v>
      </c>
      <c r="D1278" s="43"/>
      <c r="E1278" s="45"/>
    </row>
    <row r="1279" spans="1:5" x14ac:dyDescent="0.3">
      <c r="A1279" s="54">
        <v>45740</v>
      </c>
      <c r="B1279" s="45">
        <v>34100.120000000003</v>
      </c>
      <c r="C1279" s="19">
        <f t="shared" si="19"/>
        <v>45747</v>
      </c>
      <c r="D1279" s="43"/>
      <c r="E1279" s="45"/>
    </row>
    <row r="1280" spans="1:5" x14ac:dyDescent="0.3">
      <c r="A1280" s="54">
        <v>45741</v>
      </c>
      <c r="B1280" s="45">
        <v>33941.26</v>
      </c>
      <c r="C1280" s="19">
        <f t="shared" si="19"/>
        <v>45747</v>
      </c>
      <c r="D1280" s="43"/>
      <c r="E1280" s="45"/>
    </row>
    <row r="1281" spans="1:5" x14ac:dyDescent="0.3">
      <c r="A1281" s="54">
        <v>45742</v>
      </c>
      <c r="B1281" s="45">
        <v>33685.64</v>
      </c>
      <c r="C1281" s="19">
        <f t="shared" si="19"/>
        <v>45747</v>
      </c>
      <c r="D1281" s="43"/>
      <c r="E1281" s="45"/>
    </row>
    <row r="1282" spans="1:5" x14ac:dyDescent="0.3">
      <c r="A1282" s="54">
        <v>45743</v>
      </c>
      <c r="B1282" s="45">
        <v>33895.46</v>
      </c>
      <c r="C1282" s="19">
        <f t="shared" ref="C1282:C1345" si="20">EOMONTH(A1282,0)</f>
        <v>45747</v>
      </c>
      <c r="D1282" s="43"/>
      <c r="E1282" s="45"/>
    </row>
    <row r="1283" spans="1:5" x14ac:dyDescent="0.3">
      <c r="A1283" s="54">
        <v>45744</v>
      </c>
      <c r="B1283" s="45">
        <v>33787.56</v>
      </c>
      <c r="C1283" s="19">
        <f t="shared" si="20"/>
        <v>45747</v>
      </c>
      <c r="D1283" s="43"/>
      <c r="E1283" s="45"/>
    </row>
    <row r="1284" spans="1:5" x14ac:dyDescent="0.3">
      <c r="A1284" s="54">
        <v>45748</v>
      </c>
      <c r="B1284" s="45">
        <v>33361.96</v>
      </c>
      <c r="C1284" s="19">
        <f t="shared" si="20"/>
        <v>45777</v>
      </c>
      <c r="D1284" s="43"/>
      <c r="E1284" s="45"/>
    </row>
    <row r="1285" spans="1:5" x14ac:dyDescent="0.3">
      <c r="A1285" s="54">
        <v>45749</v>
      </c>
      <c r="B1285" s="45">
        <v>33670.61</v>
      </c>
      <c r="C1285" s="19">
        <f t="shared" si="20"/>
        <v>45777</v>
      </c>
      <c r="D1285" s="43"/>
      <c r="E1285" s="45"/>
    </row>
    <row r="1286" spans="1:5" x14ac:dyDescent="0.3">
      <c r="A1286" s="54">
        <v>45750</v>
      </c>
      <c r="B1286" s="45">
        <v>33635.56</v>
      </c>
      <c r="C1286" s="19">
        <f t="shared" si="20"/>
        <v>45777</v>
      </c>
      <c r="D1286" s="43"/>
      <c r="E1286" s="45"/>
    </row>
    <row r="1287" spans="1:5" x14ac:dyDescent="0.3">
      <c r="A1287" s="54">
        <v>45751</v>
      </c>
      <c r="B1287" s="45">
        <v>32942.089999999997</v>
      </c>
      <c r="C1287" s="19">
        <f t="shared" si="20"/>
        <v>45777</v>
      </c>
      <c r="D1287" s="43"/>
      <c r="E1287" s="45"/>
    </row>
    <row r="1288" spans="1:5" x14ac:dyDescent="0.3">
      <c r="A1288" s="54">
        <v>45754</v>
      </c>
      <c r="B1288" s="45">
        <v>31834.33</v>
      </c>
      <c r="C1288" s="19">
        <f t="shared" si="20"/>
        <v>45777</v>
      </c>
      <c r="D1288" s="43"/>
      <c r="E1288" s="45"/>
    </row>
    <row r="1289" spans="1:5" x14ac:dyDescent="0.3">
      <c r="A1289" s="54">
        <v>45755</v>
      </c>
      <c r="B1289" s="45">
        <v>32428.26</v>
      </c>
      <c r="C1289" s="19">
        <f t="shared" si="20"/>
        <v>45777</v>
      </c>
      <c r="D1289" s="43"/>
      <c r="E1289" s="45"/>
    </row>
    <row r="1290" spans="1:5" x14ac:dyDescent="0.3">
      <c r="A1290" s="54">
        <v>45756</v>
      </c>
      <c r="B1290" s="45">
        <v>32231.86</v>
      </c>
      <c r="C1290" s="19">
        <f t="shared" si="20"/>
        <v>45777</v>
      </c>
      <c r="D1290" s="43"/>
      <c r="E1290" s="45"/>
    </row>
    <row r="1291" spans="1:5" x14ac:dyDescent="0.3">
      <c r="A1291" s="54">
        <v>45758</v>
      </c>
      <c r="B1291" s="45">
        <v>32859.129999999997</v>
      </c>
      <c r="C1291" s="19">
        <f t="shared" si="20"/>
        <v>45777</v>
      </c>
      <c r="D1291" s="43"/>
      <c r="E1291" s="45"/>
    </row>
    <row r="1292" spans="1:5" x14ac:dyDescent="0.3">
      <c r="A1292" s="54">
        <v>45762</v>
      </c>
      <c r="B1292" s="45">
        <v>33692.800000000003</v>
      </c>
      <c r="C1292" s="19">
        <f t="shared" si="20"/>
        <v>45777</v>
      </c>
      <c r="D1292" s="43"/>
      <c r="E1292" s="45"/>
    </row>
    <row r="1293" spans="1:5" x14ac:dyDescent="0.3">
      <c r="A1293" s="54">
        <v>45763</v>
      </c>
      <c r="B1293" s="45">
        <v>33890.74</v>
      </c>
      <c r="C1293" s="19">
        <f t="shared" si="20"/>
        <v>45777</v>
      </c>
      <c r="D1293" s="43"/>
      <c r="E1293" s="45"/>
    </row>
    <row r="1294" spans="1:5" x14ac:dyDescent="0.3">
      <c r="A1294" s="54">
        <v>45764</v>
      </c>
      <c r="B1294" s="45">
        <v>34329.58</v>
      </c>
      <c r="C1294" s="19">
        <f t="shared" si="20"/>
        <v>45777</v>
      </c>
      <c r="D1294" s="43"/>
      <c r="E1294" s="45"/>
    </row>
    <row r="1295" spans="1:5" x14ac:dyDescent="0.3">
      <c r="A1295" s="54">
        <v>45768</v>
      </c>
      <c r="B1295" s="45">
        <v>34842.910000000003</v>
      </c>
      <c r="C1295" s="19">
        <f t="shared" si="20"/>
        <v>45777</v>
      </c>
      <c r="D1295" s="43"/>
      <c r="E1295" s="45"/>
    </row>
    <row r="1296" spans="1:5" x14ac:dyDescent="0.3">
      <c r="A1296" s="54">
        <v>45769</v>
      </c>
      <c r="B1296" s="45">
        <v>34968.69</v>
      </c>
      <c r="C1296" s="19">
        <f t="shared" si="20"/>
        <v>45777</v>
      </c>
      <c r="D1296" s="43"/>
      <c r="E1296" s="45"/>
    </row>
    <row r="1297" spans="1:5" x14ac:dyDescent="0.3">
      <c r="A1297" s="54">
        <v>45770</v>
      </c>
      <c r="B1297" s="45">
        <v>35210.269999999997</v>
      </c>
      <c r="C1297" s="19">
        <f t="shared" si="20"/>
        <v>45777</v>
      </c>
      <c r="D1297" s="43"/>
      <c r="E1297" s="45"/>
    </row>
    <row r="1298" spans="1:5" x14ac:dyDescent="0.3">
      <c r="A1298" s="54">
        <v>45771</v>
      </c>
      <c r="B1298" s="45">
        <v>35120.1</v>
      </c>
      <c r="C1298" s="19">
        <f t="shared" si="20"/>
        <v>45777</v>
      </c>
      <c r="D1298" s="43"/>
      <c r="E1298" s="45"/>
    </row>
    <row r="1299" spans="1:5" x14ac:dyDescent="0.3">
      <c r="A1299" s="54">
        <v>45772</v>
      </c>
      <c r="B1299" s="45">
        <v>34594.15</v>
      </c>
      <c r="C1299" s="19">
        <f t="shared" si="20"/>
        <v>45777</v>
      </c>
      <c r="D1299" s="43"/>
      <c r="E1299" s="45"/>
    </row>
    <row r="1300" spans="1:5" x14ac:dyDescent="0.3">
      <c r="A1300" s="54">
        <v>45775</v>
      </c>
      <c r="B1300" s="45">
        <v>34999.51</v>
      </c>
      <c r="C1300" s="19">
        <f t="shared" si="20"/>
        <v>45777</v>
      </c>
      <c r="D1300" s="43"/>
      <c r="E1300" s="45"/>
    </row>
    <row r="1301" spans="1:5" x14ac:dyDescent="0.3">
      <c r="A1301" s="54">
        <v>45776</v>
      </c>
      <c r="B1301" s="45">
        <v>35016.370000000003</v>
      </c>
      <c r="C1301" s="19">
        <f t="shared" si="20"/>
        <v>45777</v>
      </c>
      <c r="D1301" s="43"/>
      <c r="E1301" s="45"/>
    </row>
    <row r="1302" spans="1:5" x14ac:dyDescent="0.3">
      <c r="A1302" s="54">
        <v>45777</v>
      </c>
      <c r="B1302" s="45">
        <v>34886.080000000002</v>
      </c>
      <c r="C1302" s="19">
        <f t="shared" si="20"/>
        <v>45777</v>
      </c>
      <c r="D1302" s="43"/>
      <c r="E1302" s="45"/>
    </row>
    <row r="1303" spans="1:5" x14ac:dyDescent="0.3">
      <c r="A1303" s="54">
        <v>45779</v>
      </c>
      <c r="B1303" s="45">
        <v>34848.28</v>
      </c>
      <c r="C1303" s="19">
        <f t="shared" si="20"/>
        <v>45808</v>
      </c>
      <c r="D1303" s="43"/>
      <c r="E1303" s="45"/>
    </row>
    <row r="1304" spans="1:5" x14ac:dyDescent="0.3">
      <c r="A1304" s="54">
        <v>45782</v>
      </c>
      <c r="B1304" s="45">
        <v>35147.86</v>
      </c>
      <c r="C1304" s="19">
        <f t="shared" si="20"/>
        <v>45808</v>
      </c>
      <c r="D1304" s="43"/>
      <c r="E1304" s="45"/>
    </row>
    <row r="1305" spans="1:5" x14ac:dyDescent="0.3">
      <c r="A1305" s="54">
        <v>45783</v>
      </c>
      <c r="B1305" s="45">
        <v>34770.1</v>
      </c>
      <c r="C1305" s="19">
        <f t="shared" si="20"/>
        <v>45808</v>
      </c>
      <c r="D1305" s="43"/>
      <c r="E1305" s="45"/>
    </row>
    <row r="1306" spans="1:5" x14ac:dyDescent="0.3">
      <c r="A1306" s="54">
        <v>45784</v>
      </c>
      <c r="B1306" s="45">
        <v>34953.839999999997</v>
      </c>
      <c r="C1306" s="19">
        <f t="shared" si="20"/>
        <v>45808</v>
      </c>
      <c r="D1306" s="43"/>
      <c r="E1306" s="45"/>
    </row>
    <row r="1307" spans="1:5" x14ac:dyDescent="0.3">
      <c r="A1307" s="54">
        <v>45785</v>
      </c>
      <c r="B1307" s="45">
        <v>34590.6</v>
      </c>
      <c r="C1307" s="19">
        <f t="shared" si="20"/>
        <v>45808</v>
      </c>
      <c r="D1307" s="43"/>
      <c r="E1307" s="45"/>
    </row>
    <row r="1308" spans="1:5" x14ac:dyDescent="0.3">
      <c r="A1308" s="54">
        <v>45786</v>
      </c>
      <c r="B1308" s="45">
        <v>34326.370000000003</v>
      </c>
      <c r="C1308" s="19">
        <f t="shared" si="20"/>
        <v>45808</v>
      </c>
      <c r="D1308" s="43"/>
      <c r="E1308" s="45"/>
    </row>
    <row r="1309" spans="1:5" x14ac:dyDescent="0.3">
      <c r="A1309" s="54">
        <v>45789</v>
      </c>
      <c r="B1309" s="45">
        <v>35650</v>
      </c>
      <c r="C1309" s="19">
        <f t="shared" si="20"/>
        <v>45808</v>
      </c>
      <c r="D1309" s="43"/>
      <c r="E1309" s="45"/>
    </row>
    <row r="1310" spans="1:5" x14ac:dyDescent="0.3">
      <c r="A1310" s="54">
        <v>45790</v>
      </c>
      <c r="B1310" s="45">
        <v>35393.94</v>
      </c>
      <c r="C1310" s="19">
        <f t="shared" si="20"/>
        <v>45808</v>
      </c>
      <c r="D1310" s="43"/>
      <c r="E1310" s="45"/>
    </row>
    <row r="1311" spans="1:5" x14ac:dyDescent="0.3">
      <c r="A1311" s="54">
        <v>45791</v>
      </c>
      <c r="B1311" s="45">
        <v>35632.269999999997</v>
      </c>
      <c r="C1311" s="19">
        <f t="shared" si="20"/>
        <v>45808</v>
      </c>
      <c r="D1311" s="43"/>
      <c r="E1311" s="45"/>
    </row>
    <row r="1312" spans="1:5" x14ac:dyDescent="0.3">
      <c r="A1312" s="54">
        <v>45792</v>
      </c>
      <c r="B1312" s="45">
        <v>36090.629999999997</v>
      </c>
      <c r="C1312" s="19">
        <f t="shared" si="20"/>
        <v>45808</v>
      </c>
      <c r="D1312" s="43"/>
      <c r="E1312" s="45"/>
    </row>
    <row r="1313" spans="1:5" x14ac:dyDescent="0.3">
      <c r="A1313" s="54">
        <v>45793</v>
      </c>
      <c r="B1313" s="45">
        <v>36232.61</v>
      </c>
      <c r="C1313" s="19">
        <f t="shared" si="20"/>
        <v>45808</v>
      </c>
      <c r="D1313" s="43"/>
      <c r="E1313" s="45"/>
    </row>
    <row r="1314" spans="1:5" x14ac:dyDescent="0.3">
      <c r="A1314" s="54">
        <v>45796</v>
      </c>
      <c r="B1314" s="45">
        <v>36224.519999999997</v>
      </c>
      <c r="C1314" s="19">
        <f t="shared" si="20"/>
        <v>45808</v>
      </c>
      <c r="D1314" s="43"/>
      <c r="E1314" s="45"/>
    </row>
    <row r="1315" spans="1:5" x14ac:dyDescent="0.3">
      <c r="A1315" s="54">
        <v>45797</v>
      </c>
      <c r="B1315" s="45">
        <v>35780.620000000003</v>
      </c>
      <c r="C1315" s="19">
        <f t="shared" si="20"/>
        <v>45808</v>
      </c>
      <c r="D1315" s="43"/>
      <c r="E1315" s="45"/>
    </row>
    <row r="1316" spans="1:5" x14ac:dyDescent="0.3">
      <c r="A1316" s="54">
        <v>45798</v>
      </c>
      <c r="B1316" s="45">
        <v>36010.699999999997</v>
      </c>
      <c r="C1316" s="19">
        <f t="shared" si="20"/>
        <v>45808</v>
      </c>
      <c r="D1316" s="43"/>
      <c r="E1316" s="45"/>
    </row>
    <row r="1317" spans="1:5" x14ac:dyDescent="0.3">
      <c r="A1317" s="54">
        <v>45799</v>
      </c>
      <c r="B1317" s="45">
        <v>35797.03</v>
      </c>
      <c r="C1317" s="19">
        <f t="shared" si="20"/>
        <v>45808</v>
      </c>
      <c r="D1317" s="43"/>
      <c r="E1317" s="45"/>
    </row>
    <row r="1318" spans="1:5" x14ac:dyDescent="0.3">
      <c r="A1318" s="54">
        <v>45800</v>
      </c>
      <c r="B1318" s="45">
        <v>36092.879999999997</v>
      </c>
      <c r="C1318" s="19">
        <f t="shared" si="20"/>
        <v>45808</v>
      </c>
      <c r="D1318" s="43"/>
      <c r="E1318" s="45"/>
    </row>
    <row r="1319" spans="1:5" x14ac:dyDescent="0.3">
      <c r="A1319" s="54">
        <v>45803</v>
      </c>
      <c r="B1319" s="45">
        <v>36294.53</v>
      </c>
      <c r="C1319" s="19">
        <f t="shared" si="20"/>
        <v>45808</v>
      </c>
      <c r="D1319" s="43"/>
      <c r="E1319" s="45"/>
    </row>
    <row r="1320" spans="1:5" x14ac:dyDescent="0.3">
      <c r="A1320" s="54">
        <v>45804</v>
      </c>
      <c r="B1320" s="45">
        <v>36149.56</v>
      </c>
      <c r="C1320" s="19">
        <f t="shared" si="20"/>
        <v>45808</v>
      </c>
      <c r="D1320" s="43"/>
      <c r="E1320" s="45"/>
    </row>
    <row r="1321" spans="1:5" x14ac:dyDescent="0.3">
      <c r="A1321" s="54">
        <v>45805</v>
      </c>
      <c r="B1321" s="45">
        <v>36105.43</v>
      </c>
      <c r="C1321" s="19">
        <f t="shared" si="20"/>
        <v>45808</v>
      </c>
      <c r="D1321" s="43"/>
      <c r="E1321" s="45"/>
    </row>
    <row r="1322" spans="1:5" x14ac:dyDescent="0.3">
      <c r="A1322" s="54">
        <v>45806</v>
      </c>
      <c r="B1322" s="45">
        <v>36236.36</v>
      </c>
      <c r="C1322" s="19">
        <f t="shared" si="20"/>
        <v>45808</v>
      </c>
      <c r="D1322" s="43"/>
      <c r="E1322" s="45"/>
    </row>
    <row r="1323" spans="1:5" x14ac:dyDescent="0.3">
      <c r="A1323" s="54">
        <v>45807</v>
      </c>
      <c r="B1323" s="45">
        <v>36160.26</v>
      </c>
      <c r="C1323" s="19">
        <f t="shared" si="20"/>
        <v>45808</v>
      </c>
      <c r="D1323" s="43"/>
      <c r="E1323" s="45"/>
    </row>
    <row r="1324" spans="1:5" x14ac:dyDescent="0.3">
      <c r="A1324" s="54">
        <v>45810</v>
      </c>
      <c r="B1324" s="45">
        <v>36211.9</v>
      </c>
      <c r="C1324" s="19">
        <f t="shared" si="20"/>
        <v>45838</v>
      </c>
      <c r="D1324" s="43"/>
      <c r="E1324" s="45"/>
    </row>
    <row r="1325" spans="1:5" x14ac:dyDescent="0.3">
      <c r="A1325" s="54">
        <v>45811</v>
      </c>
      <c r="B1325" s="45">
        <v>36024.39</v>
      </c>
      <c r="C1325" s="19">
        <f t="shared" si="20"/>
        <v>45838</v>
      </c>
      <c r="D1325" s="43"/>
      <c r="E1325" s="45"/>
    </row>
    <row r="1326" spans="1:5" x14ac:dyDescent="0.3">
      <c r="A1326" s="54">
        <v>45812</v>
      </c>
      <c r="B1326" s="45">
        <v>36185.79</v>
      </c>
      <c r="C1326" s="19">
        <f t="shared" si="20"/>
        <v>45838</v>
      </c>
      <c r="D1326" s="43"/>
      <c r="E1326" s="45"/>
    </row>
    <row r="1327" spans="1:5" x14ac:dyDescent="0.3">
      <c r="A1327" s="54">
        <v>45813</v>
      </c>
      <c r="B1327" s="45">
        <v>36386.82</v>
      </c>
      <c r="C1327" s="19">
        <f t="shared" si="20"/>
        <v>45838</v>
      </c>
      <c r="D1327" s="43"/>
      <c r="E1327" s="45"/>
    </row>
    <row r="1328" spans="1:5" x14ac:dyDescent="0.3">
      <c r="A1328" s="54">
        <v>45814</v>
      </c>
      <c r="B1328" s="45">
        <v>36753.75</v>
      </c>
      <c r="C1328" s="19">
        <f t="shared" si="20"/>
        <v>45838</v>
      </c>
      <c r="D1328" s="43"/>
      <c r="E1328" s="45"/>
    </row>
    <row r="1329" spans="1:5" x14ac:dyDescent="0.3">
      <c r="A1329" s="54">
        <v>45817</v>
      </c>
      <c r="B1329" s="45">
        <v>37016.25</v>
      </c>
      <c r="C1329" s="19">
        <f t="shared" si="20"/>
        <v>45838</v>
      </c>
      <c r="D1329" s="43"/>
      <c r="E1329" s="45"/>
    </row>
    <row r="1330" spans="1:5" x14ac:dyDescent="0.3">
      <c r="A1330" s="54">
        <v>45818</v>
      </c>
      <c r="B1330" s="45">
        <v>37032.959999999999</v>
      </c>
      <c r="C1330" s="19">
        <f t="shared" si="20"/>
        <v>45838</v>
      </c>
      <c r="D1330" s="43"/>
      <c r="E1330" s="45"/>
    </row>
    <row r="1331" spans="1:5" x14ac:dyDescent="0.3">
      <c r="A1331" s="54">
        <v>45819</v>
      </c>
      <c r="B1331" s="45">
        <v>37030.15</v>
      </c>
      <c r="C1331" s="19">
        <f t="shared" si="20"/>
        <v>45838</v>
      </c>
      <c r="D1331" s="43"/>
      <c r="E1331" s="45"/>
    </row>
    <row r="1332" spans="1:5" x14ac:dyDescent="0.3">
      <c r="A1332" s="54">
        <v>45820</v>
      </c>
      <c r="B1332" s="45">
        <v>36568.42</v>
      </c>
      <c r="C1332" s="19">
        <f t="shared" si="20"/>
        <v>45838</v>
      </c>
      <c r="D1332" s="43"/>
      <c r="E1332" s="45"/>
    </row>
    <row r="1333" spans="1:5" x14ac:dyDescent="0.3">
      <c r="A1333" s="54">
        <v>45821</v>
      </c>
      <c r="B1333" s="45">
        <v>36348.18</v>
      </c>
      <c r="C1333" s="19">
        <f t="shared" si="20"/>
        <v>45838</v>
      </c>
      <c r="D1333" s="43"/>
      <c r="E1333" s="45"/>
    </row>
    <row r="1334" spans="1:5" x14ac:dyDescent="0.3">
      <c r="A1334" s="54">
        <v>45824</v>
      </c>
      <c r="B1334" s="45">
        <v>36648.19</v>
      </c>
      <c r="C1334" s="19">
        <f t="shared" si="20"/>
        <v>45838</v>
      </c>
      <c r="D1334" s="43"/>
      <c r="E1334" s="45"/>
    </row>
    <row r="1335" spans="1:5" x14ac:dyDescent="0.3">
      <c r="A1335" s="54">
        <v>45825</v>
      </c>
      <c r="B1335" s="45">
        <v>36468.69</v>
      </c>
      <c r="C1335" s="19">
        <f t="shared" si="20"/>
        <v>45838</v>
      </c>
      <c r="D1335" s="43"/>
      <c r="E1335" s="45"/>
    </row>
    <row r="1336" spans="1:5" x14ac:dyDescent="0.3">
      <c r="A1336" s="54">
        <v>45826</v>
      </c>
      <c r="B1336" s="45">
        <v>36379.4</v>
      </c>
      <c r="C1336" s="19">
        <f t="shared" si="20"/>
        <v>45838</v>
      </c>
      <c r="D1336" s="43"/>
      <c r="E1336" s="45"/>
    </row>
    <row r="1337" spans="1:5" x14ac:dyDescent="0.3">
      <c r="A1337" s="54">
        <v>45827</v>
      </c>
      <c r="B1337" s="45">
        <v>36123.39</v>
      </c>
      <c r="C1337" s="19">
        <f t="shared" si="20"/>
        <v>45838</v>
      </c>
      <c r="D1337" s="43"/>
      <c r="E1337" s="45"/>
    </row>
    <row r="1338" spans="1:5" x14ac:dyDescent="0.3">
      <c r="A1338" s="54">
        <v>45828</v>
      </c>
      <c r="B1338" s="45">
        <v>36565.82</v>
      </c>
      <c r="C1338" s="19">
        <f t="shared" si="20"/>
        <v>45838</v>
      </c>
      <c r="D1338" s="43"/>
      <c r="E1338" s="45"/>
    </row>
    <row r="1339" spans="1:5" x14ac:dyDescent="0.3">
      <c r="A1339" s="54">
        <v>45831</v>
      </c>
      <c r="B1339" s="45">
        <v>36507.74</v>
      </c>
      <c r="C1339" s="19">
        <f t="shared" si="20"/>
        <v>45838</v>
      </c>
      <c r="D1339" s="43"/>
      <c r="E1339" s="45"/>
    </row>
    <row r="1340" spans="1:5" x14ac:dyDescent="0.3">
      <c r="A1340" s="54">
        <v>45832</v>
      </c>
      <c r="B1340" s="45">
        <v>36687.65</v>
      </c>
      <c r="C1340" s="19">
        <f t="shared" si="20"/>
        <v>45838</v>
      </c>
      <c r="D1340" s="43"/>
      <c r="E1340" s="45"/>
    </row>
    <row r="1341" spans="1:5" x14ac:dyDescent="0.3">
      <c r="A1341" s="54">
        <v>45833</v>
      </c>
      <c r="B1341" s="45">
        <v>36979.230000000003</v>
      </c>
      <c r="C1341" s="19">
        <f t="shared" si="20"/>
        <v>45838</v>
      </c>
      <c r="D1341" s="43"/>
      <c r="E1341" s="45"/>
    </row>
    <row r="1342" spans="1:5" x14ac:dyDescent="0.3">
      <c r="A1342" s="54">
        <v>45834</v>
      </c>
      <c r="B1342" s="45">
        <v>37329.53</v>
      </c>
      <c r="C1342" s="19">
        <f t="shared" si="20"/>
        <v>45838</v>
      </c>
      <c r="D1342" s="43"/>
      <c r="E1342" s="45"/>
    </row>
    <row r="1343" spans="1:5" x14ac:dyDescent="0.3">
      <c r="A1343" s="54">
        <v>45835</v>
      </c>
      <c r="B1343" s="45">
        <v>37526.730000000003</v>
      </c>
      <c r="C1343" s="19">
        <f t="shared" si="20"/>
        <v>45838</v>
      </c>
      <c r="D1343" s="43"/>
      <c r="E1343" s="45"/>
    </row>
    <row r="1344" spans="1:5" x14ac:dyDescent="0.3">
      <c r="A1344" s="54">
        <v>45838</v>
      </c>
      <c r="B1344" s="45">
        <v>37522.379999999997</v>
      </c>
      <c r="C1344" s="19">
        <f t="shared" si="20"/>
        <v>45838</v>
      </c>
      <c r="D1344" s="43"/>
      <c r="E1344" s="45"/>
    </row>
    <row r="1345" spans="1:5" x14ac:dyDescent="0.3">
      <c r="A1345" s="54">
        <v>45839</v>
      </c>
      <c r="B1345" s="45">
        <v>37519.71</v>
      </c>
      <c r="C1345" s="19">
        <f t="shared" si="20"/>
        <v>45869</v>
      </c>
      <c r="D1345" s="43"/>
      <c r="E1345" s="45"/>
    </row>
    <row r="1346" spans="1:5" x14ac:dyDescent="0.3">
      <c r="A1346" s="54">
        <v>45840</v>
      </c>
      <c r="B1346" s="45">
        <v>37411.42</v>
      </c>
      <c r="C1346" s="19">
        <f t="shared" ref="C1346:C1409" si="21">EOMONTH(A1346,0)</f>
        <v>45869</v>
      </c>
      <c r="D1346" s="43"/>
      <c r="E1346" s="45"/>
    </row>
    <row r="1347" spans="1:5" x14ac:dyDescent="0.3">
      <c r="A1347" s="54">
        <v>45841</v>
      </c>
      <c r="B1347" s="45">
        <v>37371</v>
      </c>
      <c r="C1347" s="19">
        <f t="shared" si="21"/>
        <v>45869</v>
      </c>
      <c r="D1347" s="43"/>
      <c r="E1347" s="45"/>
    </row>
    <row r="1348" spans="1:5" x14ac:dyDescent="0.3">
      <c r="A1348" s="54">
        <v>45842</v>
      </c>
      <c r="B1348" s="45">
        <v>37443.199999999997</v>
      </c>
      <c r="C1348" s="19">
        <f t="shared" si="21"/>
        <v>45869</v>
      </c>
      <c r="D1348" s="43"/>
      <c r="E1348" s="45"/>
    </row>
    <row r="1349" spans="1:5" x14ac:dyDescent="0.3">
      <c r="A1349" s="54">
        <v>45845</v>
      </c>
      <c r="B1349" s="45">
        <v>37426.49</v>
      </c>
      <c r="C1349" s="19">
        <f t="shared" si="21"/>
        <v>45869</v>
      </c>
      <c r="D1349" s="43"/>
      <c r="E1349" s="45"/>
    </row>
    <row r="1350" spans="1:5" x14ac:dyDescent="0.3">
      <c r="A1350" s="54">
        <v>45846</v>
      </c>
      <c r="B1350" s="45">
        <v>37461.97</v>
      </c>
      <c r="C1350" s="19">
        <f t="shared" si="21"/>
        <v>45869</v>
      </c>
      <c r="D1350" s="43"/>
      <c r="E1350" s="45"/>
    </row>
    <row r="1351" spans="1:5" x14ac:dyDescent="0.3">
      <c r="A1351" s="54">
        <v>45847</v>
      </c>
      <c r="B1351" s="45">
        <v>37438.19</v>
      </c>
      <c r="C1351" s="19">
        <f t="shared" si="21"/>
        <v>45869</v>
      </c>
      <c r="D1351" s="43"/>
      <c r="E1351" s="45"/>
    </row>
    <row r="1352" spans="1:5" x14ac:dyDescent="0.3">
      <c r="A1352" s="54">
        <v>45848</v>
      </c>
      <c r="B1352" s="45">
        <v>37302.43</v>
      </c>
      <c r="C1352" s="19">
        <f t="shared" si="21"/>
        <v>45869</v>
      </c>
      <c r="D1352" s="43"/>
      <c r="E1352" s="45"/>
    </row>
    <row r="1353" spans="1:5" x14ac:dyDescent="0.3">
      <c r="A1353" s="54">
        <v>45849</v>
      </c>
      <c r="B1353" s="45">
        <v>37005.03</v>
      </c>
      <c r="C1353" s="19">
        <f t="shared" si="21"/>
        <v>45869</v>
      </c>
      <c r="D1353" s="43"/>
      <c r="E1353" s="45"/>
    </row>
    <row r="1354" spans="1:5" x14ac:dyDescent="0.3">
      <c r="A1354" s="54">
        <v>45852</v>
      </c>
      <c r="B1354" s="45">
        <v>37047.199999999997</v>
      </c>
      <c r="C1354" s="19">
        <f t="shared" si="21"/>
        <v>45869</v>
      </c>
      <c r="D1354" s="43"/>
      <c r="E1354" s="45"/>
    </row>
    <row r="1355" spans="1:5" x14ac:dyDescent="0.3">
      <c r="A1355" s="54">
        <v>45853</v>
      </c>
      <c r="B1355" s="45">
        <v>37270.089999999997</v>
      </c>
      <c r="C1355" s="19">
        <f t="shared" si="21"/>
        <v>45869</v>
      </c>
      <c r="D1355" s="43"/>
      <c r="E1355" s="45"/>
    </row>
    <row r="1356" spans="1:5" x14ac:dyDescent="0.3">
      <c r="A1356" s="54">
        <v>45854</v>
      </c>
      <c r="B1356" s="45">
        <v>37309.4</v>
      </c>
      <c r="C1356" s="19">
        <f t="shared" si="21"/>
        <v>45869</v>
      </c>
      <c r="D1356" s="43"/>
      <c r="E1356" s="45"/>
    </row>
    <row r="1357" spans="1:5" x14ac:dyDescent="0.3">
      <c r="A1357" s="54">
        <v>45855</v>
      </c>
      <c r="B1357" s="45">
        <v>37225.68</v>
      </c>
      <c r="C1357" s="19">
        <f t="shared" si="21"/>
        <v>45869</v>
      </c>
      <c r="D1357" s="43"/>
      <c r="E1357" s="45"/>
    </row>
    <row r="1358" spans="1:5" x14ac:dyDescent="0.3">
      <c r="A1358" s="54">
        <v>45856</v>
      </c>
      <c r="B1358" s="45">
        <v>37010.28</v>
      </c>
      <c r="C1358" s="19">
        <f t="shared" si="21"/>
        <v>45869</v>
      </c>
      <c r="D1358" s="43"/>
      <c r="E1358" s="45"/>
    </row>
    <row r="1359" spans="1:5" x14ac:dyDescent="0.3">
      <c r="A1359" s="54">
        <v>45859</v>
      </c>
      <c r="B1359" s="45">
        <v>37174.68</v>
      </c>
      <c r="C1359" s="19">
        <f t="shared" si="21"/>
        <v>45869</v>
      </c>
      <c r="D1359" s="43"/>
      <c r="E1359" s="45"/>
    </row>
    <row r="1360" spans="1:5" x14ac:dyDescent="0.3">
      <c r="A1360" s="54">
        <v>45860</v>
      </c>
      <c r="B1360" s="45">
        <v>37083.15</v>
      </c>
      <c r="C1360" s="19">
        <f t="shared" si="21"/>
        <v>45869</v>
      </c>
      <c r="D1360" s="43"/>
      <c r="E1360" s="45"/>
    </row>
    <row r="1361" spans="1:5" x14ac:dyDescent="0.3">
      <c r="A1361" s="54">
        <v>45861</v>
      </c>
      <c r="B1361" s="45">
        <v>37254.92</v>
      </c>
      <c r="C1361" s="19">
        <f t="shared" si="21"/>
        <v>45869</v>
      </c>
      <c r="D1361" s="43"/>
      <c r="E1361" s="45"/>
    </row>
    <row r="1362" spans="1:5" x14ac:dyDescent="0.3">
      <c r="A1362" s="54">
        <v>45862</v>
      </c>
      <c r="B1362" s="45">
        <v>37054.58</v>
      </c>
      <c r="C1362" s="19">
        <f t="shared" si="21"/>
        <v>45869</v>
      </c>
      <c r="D1362" s="43"/>
      <c r="E1362" s="45"/>
    </row>
    <row r="1363" spans="1:5" x14ac:dyDescent="0.3">
      <c r="A1363" s="54">
        <v>45863</v>
      </c>
      <c r="B1363" s="45">
        <v>36612.620000000003</v>
      </c>
      <c r="C1363" s="19">
        <f t="shared" si="21"/>
        <v>45869</v>
      </c>
      <c r="D1363" s="43"/>
      <c r="E1363" s="45"/>
    </row>
    <row r="1364" spans="1:5" x14ac:dyDescent="0.3">
      <c r="A1364" s="54">
        <v>45866</v>
      </c>
      <c r="B1364" s="45">
        <v>36349.32</v>
      </c>
      <c r="C1364" s="19">
        <f t="shared" si="21"/>
        <v>45869</v>
      </c>
      <c r="D1364" s="43"/>
      <c r="E1364" s="45"/>
    </row>
    <row r="1365" spans="1:5" x14ac:dyDescent="0.3">
      <c r="A1365" s="54">
        <v>45867</v>
      </c>
      <c r="B1365" s="45">
        <v>36605.74</v>
      </c>
      <c r="C1365" s="19">
        <f t="shared" si="21"/>
        <v>45869</v>
      </c>
      <c r="D1365" s="43"/>
      <c r="E1365" s="45"/>
    </row>
    <row r="1366" spans="1:5" x14ac:dyDescent="0.3">
      <c r="A1366" s="54">
        <v>45868</v>
      </c>
      <c r="B1366" s="45">
        <v>36647.67</v>
      </c>
      <c r="C1366" s="19">
        <f t="shared" si="21"/>
        <v>45869</v>
      </c>
      <c r="D1366" s="43"/>
      <c r="E1366" s="45"/>
    </row>
    <row r="1367" spans="1:5" x14ac:dyDescent="0.3">
      <c r="A1367" s="54">
        <v>45869</v>
      </c>
      <c r="B1367" s="45">
        <v>36461.71</v>
      </c>
      <c r="C1367" s="19">
        <f t="shared" si="21"/>
        <v>45869</v>
      </c>
      <c r="D1367" s="43"/>
      <c r="E1367" s="45"/>
    </row>
    <row r="1368" spans="1:5" x14ac:dyDescent="0.3">
      <c r="A1368" s="54">
        <v>45870</v>
      </c>
      <c r="B1368" s="45">
        <v>36086.49</v>
      </c>
      <c r="C1368" s="19">
        <f t="shared" si="21"/>
        <v>45900</v>
      </c>
      <c r="D1368" s="43"/>
      <c r="E1368" s="45"/>
    </row>
    <row r="1369" spans="1:5" x14ac:dyDescent="0.3">
      <c r="A1369" s="54">
        <v>45874</v>
      </c>
      <c r="B1369" s="45">
        <v>36288.639999999999</v>
      </c>
      <c r="C1369" s="19">
        <f t="shared" si="21"/>
        <v>45900</v>
      </c>
      <c r="D1369" s="43"/>
      <c r="E1369" s="45"/>
    </row>
    <row r="1370" spans="1:5" x14ac:dyDescent="0.3">
      <c r="A1370" s="54">
        <v>45875</v>
      </c>
      <c r="B1370" s="45">
        <v>36081.74</v>
      </c>
      <c r="C1370" s="19">
        <f t="shared" si="21"/>
        <v>45900</v>
      </c>
      <c r="D1370" s="43"/>
      <c r="E1370" s="45"/>
    </row>
    <row r="1371" spans="1:5" x14ac:dyDescent="0.3">
      <c r="A1371" s="54">
        <v>45876</v>
      </c>
      <c r="B1371" s="45">
        <v>36126.449999999997</v>
      </c>
      <c r="C1371" s="19">
        <f t="shared" si="21"/>
        <v>45900</v>
      </c>
      <c r="D1371" s="43"/>
      <c r="E1371" s="45"/>
    </row>
    <row r="1372" spans="1:5" x14ac:dyDescent="0.3">
      <c r="A1372" s="54">
        <v>45877</v>
      </c>
      <c r="B1372" s="45">
        <v>35729.39</v>
      </c>
      <c r="C1372" s="19">
        <f t="shared" si="21"/>
        <v>45900</v>
      </c>
      <c r="D1372" s="43"/>
      <c r="E1372" s="45"/>
    </row>
    <row r="1373" spans="1:5" x14ac:dyDescent="0.3">
      <c r="A1373" s="54">
        <v>45880</v>
      </c>
      <c r="B1373" s="45">
        <v>36032.97</v>
      </c>
      <c r="C1373" s="19">
        <f t="shared" si="21"/>
        <v>45900</v>
      </c>
      <c r="D1373" s="43"/>
      <c r="E1373" s="45"/>
    </row>
    <row r="1374" spans="1:5" x14ac:dyDescent="0.3">
      <c r="A1374" s="54">
        <v>45881</v>
      </c>
      <c r="B1374" s="45">
        <v>35945.46</v>
      </c>
      <c r="C1374" s="19">
        <f t="shared" si="21"/>
        <v>45900</v>
      </c>
      <c r="D1374" s="43"/>
      <c r="E1374" s="45"/>
    </row>
    <row r="1375" spans="1:5" x14ac:dyDescent="0.3">
      <c r="A1375" s="54">
        <v>45883</v>
      </c>
      <c r="B1375" s="45">
        <v>36135.65</v>
      </c>
      <c r="C1375" s="19">
        <f t="shared" si="21"/>
        <v>45900</v>
      </c>
      <c r="D1375" s="43"/>
      <c r="E1375" s="45"/>
    </row>
    <row r="1376" spans="1:5" x14ac:dyDescent="0.3">
      <c r="A1376" s="54">
        <v>45887</v>
      </c>
      <c r="B1376" s="45">
        <v>36537.050000000003</v>
      </c>
      <c r="C1376" s="19">
        <f t="shared" si="21"/>
        <v>45900</v>
      </c>
      <c r="D1376" s="43"/>
      <c r="E1376" s="45"/>
    </row>
    <row r="1377" spans="1:5" x14ac:dyDescent="0.3">
      <c r="A1377" s="54">
        <v>45888</v>
      </c>
      <c r="B1377" s="45">
        <v>36753.67</v>
      </c>
      <c r="C1377" s="19">
        <f t="shared" si="21"/>
        <v>45900</v>
      </c>
      <c r="D1377" s="43"/>
      <c r="E1377" s="45"/>
    </row>
    <row r="1378" spans="1:5" x14ac:dyDescent="0.3">
      <c r="A1378" s="54">
        <v>45889</v>
      </c>
      <c r="B1378" s="45">
        <v>36875.67</v>
      </c>
      <c r="C1378" s="19">
        <f t="shared" si="21"/>
        <v>45900</v>
      </c>
      <c r="D1378" s="43"/>
      <c r="E1378" s="45"/>
    </row>
    <row r="1379" spans="1:5" x14ac:dyDescent="0.3">
      <c r="A1379" s="54">
        <v>45890</v>
      </c>
      <c r="B1379" s="45">
        <v>36869.089999999997</v>
      </c>
      <c r="C1379" s="19">
        <f t="shared" si="21"/>
        <v>45900</v>
      </c>
      <c r="D1379" s="43"/>
      <c r="E1379" s="45"/>
    </row>
    <row r="1380" spans="1:5" x14ac:dyDescent="0.3">
      <c r="A1380" s="54">
        <v>45891</v>
      </c>
      <c r="B1380" s="45">
        <v>36639.050000000003</v>
      </c>
      <c r="C1380" s="19">
        <f t="shared" si="21"/>
        <v>45900</v>
      </c>
      <c r="D1380" s="43"/>
      <c r="E1380" s="45"/>
    </row>
    <row r="1381" spans="1:5" x14ac:dyDescent="0.3">
      <c r="A1381" s="54">
        <v>45894</v>
      </c>
      <c r="B1381" s="45">
        <v>36737.519999999997</v>
      </c>
      <c r="C1381" s="19">
        <f t="shared" si="21"/>
        <v>45900</v>
      </c>
      <c r="D1381" s="43"/>
      <c r="E1381" s="45"/>
    </row>
    <row r="1382" spans="1:5" x14ac:dyDescent="0.3">
      <c r="A1382" s="54">
        <v>45895</v>
      </c>
      <c r="B1382" s="45">
        <v>36286.080000000002</v>
      </c>
      <c r="C1382" s="19">
        <f t="shared" si="21"/>
        <v>45900</v>
      </c>
      <c r="D1382" s="43"/>
      <c r="E1382" s="45"/>
    </row>
    <row r="1383" spans="1:5" x14ac:dyDescent="0.3">
      <c r="A1383" s="54">
        <v>45897</v>
      </c>
      <c r="B1383" s="45">
        <v>35924.5</v>
      </c>
      <c r="C1383" s="19">
        <f t="shared" si="21"/>
        <v>45900</v>
      </c>
      <c r="D1383" s="43"/>
      <c r="E1383" s="45"/>
    </row>
    <row r="1384" spans="1:5" x14ac:dyDescent="0.3">
      <c r="A1384" s="54">
        <v>45898</v>
      </c>
      <c r="B1384" s="45">
        <v>35799.379999999997</v>
      </c>
      <c r="C1384" s="19">
        <f t="shared" si="21"/>
        <v>45900</v>
      </c>
      <c r="D1384" s="43"/>
      <c r="E1384" s="45"/>
    </row>
    <row r="1385" spans="1:5" x14ac:dyDescent="0.3">
      <c r="A1385" s="54">
        <v>45901</v>
      </c>
      <c r="B1385" s="45">
        <v>36198.879999999997</v>
      </c>
      <c r="C1385" s="19">
        <f t="shared" si="21"/>
        <v>45930</v>
      </c>
      <c r="D1385" s="43"/>
      <c r="E1385" s="45"/>
    </row>
    <row r="1386" spans="1:5" x14ac:dyDescent="0.3">
      <c r="A1386" s="54">
        <v>45902</v>
      </c>
      <c r="B1386" s="45">
        <v>36216.300000000003</v>
      </c>
      <c r="C1386" s="19">
        <f t="shared" si="21"/>
        <v>45930</v>
      </c>
      <c r="D1386" s="43"/>
      <c r="E1386" s="45"/>
    </row>
    <row r="1387" spans="1:5" x14ac:dyDescent="0.3">
      <c r="A1387" s="54">
        <v>45903</v>
      </c>
      <c r="B1387" s="45">
        <v>36439.980000000003</v>
      </c>
      <c r="C1387" s="19">
        <f t="shared" si="21"/>
        <v>45930</v>
      </c>
      <c r="D1387" s="43"/>
      <c r="E1387" s="45"/>
    </row>
    <row r="1388" spans="1:5" x14ac:dyDescent="0.3">
      <c r="A1388" s="54">
        <v>45904</v>
      </c>
      <c r="B1388" s="45">
        <v>36373.300000000003</v>
      </c>
      <c r="C1388" s="19">
        <f t="shared" si="21"/>
        <v>45930</v>
      </c>
      <c r="D1388" s="43"/>
      <c r="E1388" s="45"/>
    </row>
    <row r="1389" spans="1:5" x14ac:dyDescent="0.3">
      <c r="A1389" s="54">
        <v>45905</v>
      </c>
      <c r="B1389" s="45">
        <v>36388.379999999997</v>
      </c>
      <c r="C1389" s="19">
        <f t="shared" si="21"/>
        <v>45930</v>
      </c>
      <c r="D1389" s="43"/>
      <c r="E1389" s="45"/>
    </row>
    <row r="1390" spans="1:5" x14ac:dyDescent="0.3">
      <c r="A1390" s="54">
        <v>45908</v>
      </c>
      <c r="B1390" s="45">
        <v>36467.99</v>
      </c>
      <c r="C1390" s="19">
        <f t="shared" si="21"/>
        <v>45930</v>
      </c>
      <c r="D1390" s="43"/>
      <c r="E1390" s="45"/>
    </row>
    <row r="1391" spans="1:5" x14ac:dyDescent="0.3">
      <c r="A1391" s="54">
        <v>45909</v>
      </c>
      <c r="B1391" s="45">
        <v>36580.32</v>
      </c>
      <c r="C1391" s="19">
        <f t="shared" si="21"/>
        <v>45930</v>
      </c>
      <c r="D1391" s="43"/>
      <c r="E1391" s="45"/>
    </row>
    <row r="1392" spans="1:5" x14ac:dyDescent="0.3">
      <c r="A1392" s="54">
        <v>45910</v>
      </c>
      <c r="B1392" s="45">
        <v>36780</v>
      </c>
      <c r="C1392" s="19">
        <f t="shared" si="21"/>
        <v>45930</v>
      </c>
      <c r="D1392" s="43"/>
      <c r="E1392" s="45"/>
    </row>
    <row r="1393" spans="1:5" x14ac:dyDescent="0.3">
      <c r="A1393" s="54">
        <v>45911</v>
      </c>
      <c r="B1393" s="45">
        <v>36825.449999999997</v>
      </c>
      <c r="C1393" s="19">
        <f t="shared" si="21"/>
        <v>45930</v>
      </c>
      <c r="D1393" s="43"/>
      <c r="E1393" s="45"/>
    </row>
    <row r="1394" spans="1:5" x14ac:dyDescent="0.3">
      <c r="A1394" s="54">
        <v>45912</v>
      </c>
      <c r="B1394" s="45">
        <v>36965.519999999997</v>
      </c>
      <c r="C1394" s="19">
        <f t="shared" si="21"/>
        <v>45930</v>
      </c>
      <c r="D1394" s="43"/>
      <c r="E1394" s="45"/>
    </row>
    <row r="1395" spans="1:5" x14ac:dyDescent="0.3">
      <c r="A1395" s="54">
        <v>45915</v>
      </c>
      <c r="B1395" s="45">
        <v>37006.74</v>
      </c>
      <c r="C1395" s="19">
        <f t="shared" si="21"/>
        <v>45930</v>
      </c>
      <c r="D1395" s="43"/>
      <c r="E1395" s="45"/>
    </row>
    <row r="1396" spans="1:5" x14ac:dyDescent="0.3">
      <c r="A1396" s="54">
        <v>45916</v>
      </c>
      <c r="B1396" s="45">
        <v>37251.370000000003</v>
      </c>
      <c r="C1396" s="19">
        <f t="shared" si="21"/>
        <v>45930</v>
      </c>
      <c r="D1396" s="43"/>
      <c r="E1396" s="45"/>
    </row>
    <row r="1397" spans="1:5" x14ac:dyDescent="0.3">
      <c r="A1397" s="54">
        <v>45917</v>
      </c>
      <c r="B1397" s="45">
        <v>37372.44</v>
      </c>
      <c r="C1397" s="19">
        <f t="shared" si="21"/>
        <v>45930</v>
      </c>
      <c r="D1397" s="43"/>
      <c r="E1397" s="45"/>
    </row>
    <row r="1398" spans="1:5" x14ac:dyDescent="0.3">
      <c r="A1398" s="54">
        <v>45918</v>
      </c>
      <c r="B1398" s="45">
        <v>37490.1</v>
      </c>
      <c r="C1398" s="19">
        <f t="shared" si="21"/>
        <v>45930</v>
      </c>
      <c r="D1398" s="43"/>
      <c r="E1398" s="45"/>
    </row>
    <row r="1399" spans="1:5" x14ac:dyDescent="0.3">
      <c r="A1399" s="54">
        <v>45919</v>
      </c>
      <c r="B1399" s="45">
        <v>37439.300000000003</v>
      </c>
      <c r="C1399" s="19">
        <f t="shared" si="21"/>
        <v>45930</v>
      </c>
      <c r="D1399" s="43"/>
      <c r="E1399" s="45"/>
    </row>
    <row r="1400" spans="1:5" x14ac:dyDescent="0.3">
      <c r="A1400" s="54">
        <v>45922</v>
      </c>
      <c r="B1400" s="45">
        <v>37272.18</v>
      </c>
      <c r="C1400" s="19">
        <f t="shared" si="21"/>
        <v>45930</v>
      </c>
      <c r="D1400" s="43"/>
      <c r="E1400" s="45"/>
    </row>
    <row r="1401" spans="1:5" x14ac:dyDescent="0.3">
      <c r="A1401" s="54">
        <v>45923</v>
      </c>
      <c r="B1401" s="45">
        <v>37182.629999999997</v>
      </c>
      <c r="C1401" s="19">
        <f t="shared" si="21"/>
        <v>45930</v>
      </c>
      <c r="D1401" s="43"/>
      <c r="E1401" s="45"/>
    </row>
    <row r="1402" spans="1:5" x14ac:dyDescent="0.3">
      <c r="A1402" s="54">
        <v>45924</v>
      </c>
      <c r="B1402" s="45">
        <v>36948.25</v>
      </c>
      <c r="C1402" s="19">
        <f t="shared" si="21"/>
        <v>45930</v>
      </c>
      <c r="D1402" s="43"/>
      <c r="E1402" s="45"/>
    </row>
    <row r="1403" spans="1:5" x14ac:dyDescent="0.3">
      <c r="A1403" s="54">
        <v>45925</v>
      </c>
      <c r="B1403" s="45">
        <v>36699.82</v>
      </c>
      <c r="C1403" s="19">
        <f t="shared" si="21"/>
        <v>45930</v>
      </c>
      <c r="D1403" s="43"/>
      <c r="E1403" s="45"/>
    </row>
    <row r="1404" spans="1:5" x14ac:dyDescent="0.3">
      <c r="A1404" s="54">
        <v>45926</v>
      </c>
      <c r="B1404" s="45">
        <v>36206.839999999997</v>
      </c>
      <c r="C1404" s="19">
        <f t="shared" si="21"/>
        <v>45930</v>
      </c>
      <c r="D1404" s="43"/>
      <c r="E1404" s="45"/>
    </row>
    <row r="1405" spans="1:5" x14ac:dyDescent="0.3">
      <c r="A1405" s="54">
        <v>45929</v>
      </c>
      <c r="B1405" s="45">
        <v>36248.22</v>
      </c>
      <c r="C1405" s="19">
        <f t="shared" si="21"/>
        <v>45930</v>
      </c>
      <c r="D1405" s="43"/>
      <c r="E1405" s="45"/>
    </row>
    <row r="1406" spans="1:5" x14ac:dyDescent="0.3">
      <c r="A1406" s="54">
        <v>45930</v>
      </c>
      <c r="B1406" s="45">
        <v>36248.22</v>
      </c>
      <c r="C1406" s="19">
        <f t="shared" si="21"/>
        <v>45930</v>
      </c>
      <c r="D1406" s="43"/>
      <c r="E1406" s="45"/>
    </row>
    <row r="1407" spans="1:5" x14ac:dyDescent="0.3">
      <c r="A1407" s="54">
        <v>45931</v>
      </c>
      <c r="B1407" s="45">
        <v>36549.800000000003</v>
      </c>
      <c r="C1407" s="19">
        <f t="shared" si="21"/>
        <v>45961</v>
      </c>
      <c r="D1407" s="43"/>
      <c r="E1407" s="45"/>
    </row>
    <row r="1408" spans="1:5" x14ac:dyDescent="0.3">
      <c r="A1408" s="54">
        <v>45933</v>
      </c>
      <c r="B1408" s="45">
        <v>36708.39</v>
      </c>
      <c r="C1408" s="19">
        <f t="shared" si="21"/>
        <v>45961</v>
      </c>
      <c r="D1408" s="43"/>
      <c r="E1408" s="45"/>
    </row>
    <row r="1409" spans="1:5" x14ac:dyDescent="0.3">
      <c r="A1409" s="54">
        <v>45936</v>
      </c>
      <c r="B1409" s="45">
        <v>36934.660000000003</v>
      </c>
      <c r="C1409" s="19">
        <f t="shared" si="21"/>
        <v>45961</v>
      </c>
      <c r="D1409" s="43"/>
      <c r="E1409" s="45"/>
    </row>
    <row r="1410" spans="1:5" x14ac:dyDescent="0.3">
      <c r="A1410" s="54">
        <v>45937</v>
      </c>
      <c r="B1410" s="45">
        <v>36998.14</v>
      </c>
      <c r="C1410" s="19">
        <f t="shared" ref="C1410:C1432" si="22">EOMONTH(A1410,0)</f>
        <v>45961</v>
      </c>
      <c r="D1410" s="43"/>
      <c r="E1410" s="45"/>
    </row>
    <row r="1411" spans="1:5" x14ac:dyDescent="0.3">
      <c r="A1411" s="54">
        <v>45938</v>
      </c>
      <c r="B1411" s="45">
        <v>36838.5</v>
      </c>
      <c r="C1411" s="19">
        <f t="shared" si="22"/>
        <v>45961</v>
      </c>
      <c r="D1411" s="43"/>
      <c r="E1411" s="45"/>
    </row>
    <row r="1412" spans="1:5" x14ac:dyDescent="0.3">
      <c r="A1412" s="54">
        <v>45939</v>
      </c>
      <c r="B1412" s="45">
        <v>37049.58</v>
      </c>
      <c r="C1412" s="19">
        <f t="shared" si="22"/>
        <v>45961</v>
      </c>
      <c r="D1412" s="43"/>
      <c r="E1412" s="45"/>
    </row>
    <row r="1413" spans="1:5" x14ac:dyDescent="0.3">
      <c r="A1413" s="54">
        <v>45940</v>
      </c>
      <c r="B1413" s="45">
        <v>37202.44</v>
      </c>
      <c r="C1413" s="19">
        <f t="shared" si="22"/>
        <v>45961</v>
      </c>
      <c r="D1413" s="43"/>
      <c r="E1413" s="45"/>
    </row>
    <row r="1414" spans="1:5" x14ac:dyDescent="0.3">
      <c r="A1414" s="54">
        <v>45944</v>
      </c>
      <c r="B1414" s="45">
        <v>36957.769999999997</v>
      </c>
      <c r="C1414" s="19">
        <f t="shared" si="22"/>
        <v>45961</v>
      </c>
      <c r="D1414" s="43"/>
      <c r="E1414" s="45"/>
    </row>
    <row r="1415" spans="1:5" x14ac:dyDescent="0.3">
      <c r="A1415" s="54">
        <v>45945</v>
      </c>
      <c r="B1415" s="45">
        <v>37268.03</v>
      </c>
      <c r="C1415" s="19">
        <f t="shared" si="22"/>
        <v>45961</v>
      </c>
      <c r="D1415" s="43"/>
      <c r="E1415" s="45"/>
    </row>
    <row r="1416" spans="1:5" x14ac:dyDescent="0.3">
      <c r="A1416" s="54">
        <v>45946</v>
      </c>
      <c r="B1416" s="45">
        <v>37565.29</v>
      </c>
      <c r="C1416" s="19">
        <f t="shared" si="22"/>
        <v>45961</v>
      </c>
      <c r="D1416" s="43"/>
      <c r="E1416" s="45"/>
    </row>
    <row r="1417" spans="1:5" x14ac:dyDescent="0.3">
      <c r="A1417" s="54">
        <v>45947</v>
      </c>
      <c r="B1417" s="45">
        <v>37622.31</v>
      </c>
      <c r="C1417" s="19">
        <f t="shared" si="22"/>
        <v>45961</v>
      </c>
      <c r="D1417" s="43"/>
      <c r="E1417" s="45"/>
    </row>
    <row r="1418" spans="1:5" x14ac:dyDescent="0.3">
      <c r="A1418" s="54">
        <v>45950</v>
      </c>
      <c r="B1418" s="45">
        <v>37812.39</v>
      </c>
      <c r="C1418" s="19">
        <f t="shared" si="22"/>
        <v>45961</v>
      </c>
      <c r="D1418" s="43"/>
      <c r="E1418" s="45"/>
    </row>
    <row r="1419" spans="1:5" x14ac:dyDescent="0.3">
      <c r="A1419" s="54">
        <v>45951</v>
      </c>
      <c r="B1419" s="45">
        <v>37881.08</v>
      </c>
      <c r="C1419" s="19">
        <f t="shared" si="22"/>
        <v>45961</v>
      </c>
      <c r="D1419" s="43"/>
      <c r="E1419" s="45"/>
    </row>
    <row r="1420" spans="1:5" x14ac:dyDescent="0.3">
      <c r="A1420" s="54">
        <v>45953</v>
      </c>
      <c r="B1420" s="45">
        <v>37876.129999999997</v>
      </c>
      <c r="C1420" s="19">
        <f t="shared" si="22"/>
        <v>45961</v>
      </c>
      <c r="D1420" s="43"/>
      <c r="E1420" s="45"/>
    </row>
    <row r="1421" spans="1:5" x14ac:dyDescent="0.3">
      <c r="A1421" s="54">
        <v>45954</v>
      </c>
      <c r="B1421" s="45">
        <v>37766.89</v>
      </c>
      <c r="C1421" s="19">
        <f t="shared" si="22"/>
        <v>45961</v>
      </c>
      <c r="D1421" s="43"/>
      <c r="E1421" s="45"/>
    </row>
    <row r="1422" spans="1:5" x14ac:dyDescent="0.3">
      <c r="A1422" s="54">
        <v>45957</v>
      </c>
      <c r="B1422" s="45">
        <v>38030.32</v>
      </c>
      <c r="C1422" s="19">
        <f t="shared" si="22"/>
        <v>45961</v>
      </c>
      <c r="D1422" s="43"/>
      <c r="E1422" s="45"/>
    </row>
    <row r="1423" spans="1:5" x14ac:dyDescent="0.3">
      <c r="A1423" s="54">
        <v>45958</v>
      </c>
      <c r="B1423" s="45">
        <v>37985.14</v>
      </c>
      <c r="C1423" s="19">
        <f t="shared" si="22"/>
        <v>45961</v>
      </c>
      <c r="D1423" s="43"/>
      <c r="E1423" s="45"/>
    </row>
    <row r="1424" spans="1:5" x14ac:dyDescent="0.3">
      <c r="A1424" s="54">
        <v>45959</v>
      </c>
      <c r="B1424" s="45">
        <v>38208.18</v>
      </c>
      <c r="C1424" s="19">
        <f t="shared" si="22"/>
        <v>45961</v>
      </c>
      <c r="D1424" s="43"/>
      <c r="E1424" s="45"/>
    </row>
    <row r="1425" spans="1:5" x14ac:dyDescent="0.3">
      <c r="A1425" s="54">
        <v>45960</v>
      </c>
      <c r="B1425" s="45">
        <v>38030.97</v>
      </c>
      <c r="C1425" s="19">
        <f t="shared" si="22"/>
        <v>45961</v>
      </c>
      <c r="D1425" s="43"/>
      <c r="E1425" s="45"/>
    </row>
    <row r="1426" spans="1:5" x14ac:dyDescent="0.3">
      <c r="A1426" s="54">
        <v>45961</v>
      </c>
      <c r="B1426" s="45">
        <v>37822.449999999997</v>
      </c>
      <c r="C1426" s="19">
        <f t="shared" si="22"/>
        <v>45961</v>
      </c>
      <c r="D1426" s="43"/>
      <c r="E1426" s="45"/>
    </row>
    <row r="1427" spans="1:5" x14ac:dyDescent="0.3">
      <c r="A1427" s="54">
        <v>45964</v>
      </c>
      <c r="B1427" s="45">
        <v>37983.99</v>
      </c>
      <c r="C1427" s="19">
        <f t="shared" si="22"/>
        <v>45991</v>
      </c>
      <c r="D1427" s="43"/>
      <c r="E1427" s="45"/>
    </row>
    <row r="1428" spans="1:5" x14ac:dyDescent="0.3">
      <c r="A1428" s="54">
        <v>45965</v>
      </c>
      <c r="B1428" s="45">
        <v>37768.49</v>
      </c>
      <c r="C1428" s="19">
        <f t="shared" si="22"/>
        <v>45991</v>
      </c>
      <c r="D1428" s="43"/>
      <c r="E1428" s="45"/>
    </row>
    <row r="1429" spans="1:5" x14ac:dyDescent="0.3">
      <c r="A1429" s="54">
        <v>45967</v>
      </c>
      <c r="B1429" s="45">
        <v>37510.82</v>
      </c>
      <c r="C1429" s="19">
        <f t="shared" si="22"/>
        <v>45991</v>
      </c>
      <c r="D1429" s="43"/>
      <c r="E1429" s="45"/>
    </row>
    <row r="1430" spans="1:5" x14ac:dyDescent="0.3">
      <c r="A1430" s="54">
        <v>45968</v>
      </c>
      <c r="B1430" s="45">
        <v>37532.199999999997</v>
      </c>
      <c r="C1430" s="19">
        <f t="shared" si="22"/>
        <v>45991</v>
      </c>
      <c r="D1430" s="43"/>
      <c r="E1430" s="45"/>
    </row>
    <row r="1431" spans="1:5" x14ac:dyDescent="0.3">
      <c r="A1431" s="54">
        <v>45971</v>
      </c>
      <c r="B1431" s="45">
        <v>37656.69</v>
      </c>
      <c r="C1431" s="19">
        <f t="shared" si="22"/>
        <v>45991</v>
      </c>
      <c r="D1431" s="43"/>
      <c r="E1431" s="45"/>
    </row>
    <row r="1432" spans="1:5" x14ac:dyDescent="0.3">
      <c r="A1432" s="54">
        <v>45972</v>
      </c>
      <c r="B1432" s="45">
        <v>37794.11</v>
      </c>
      <c r="C1432" s="19">
        <f t="shared" si="22"/>
        <v>45991</v>
      </c>
      <c r="D1432" s="43"/>
      <c r="E1432" s="45"/>
    </row>
  </sheetData>
  <conditionalFormatting sqref="A1">
    <cfRule type="duplicateValues" dxfId="3" priority="3"/>
    <cfRule type="duplicateValues" dxfId="2" priority="4"/>
  </conditionalFormatting>
  <conditionalFormatting sqref="D1: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Inputs</vt:lpstr>
      <vt:lpstr>NAV_Data</vt:lpstr>
      <vt:lpstr>Benchmark_Data</vt:lpstr>
      <vt:lpstr>Calc</vt:lpstr>
      <vt:lpstr>SIP</vt:lpstr>
      <vt:lpstr>Summary</vt:lpstr>
      <vt:lpstr>Clean_NAV</vt:lpstr>
      <vt:lpstr>Nifty 500 TRI</vt:lpstr>
      <vt:lpstr>Clean_Benchmark</vt:lpstr>
      <vt:lpstr>BM_Dates</vt:lpstr>
      <vt:lpstr>BM_Value</vt:lpstr>
      <vt:lpstr>FundDates</vt:lpstr>
      <vt:lpstr>FundNAV</vt:lpstr>
      <vt:lpstr>MAR_Annual</vt:lpstr>
      <vt:lpstr>RF_Annual</vt:lpstr>
      <vt:lpstr>SIP_Amt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MS</cp:lastModifiedBy>
  <dcterms:created xsi:type="dcterms:W3CDTF">2025-11-11T15:24:42Z</dcterms:created>
  <dcterms:modified xsi:type="dcterms:W3CDTF">2025-11-14T15:11:00Z</dcterms:modified>
</cp:coreProperties>
</file>